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词典" sheetId="2" state="visible" r:id="rId4"/>
    <sheet name="预览" sheetId="3" state="visible" r:id="rId5"/>
  </sheets>
  <definedNames>
    <definedName function="false" hidden="true" localSheetId="1" name="_xlnm._FilterDatabase" vbProcedure="false">词典!$A$1:$I$115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<sst xmlns="http://schemas.openxmlformats.org/spreadsheetml/2006/main" count="739" uniqueCount="673">
  <si>
    <r>
      <rPr>
        <b val="true"/>
        <sz val="16"/>
        <rFont val="Arial"/>
        <family val="0"/>
        <charset val="1"/>
      </rPr>
      <t xml:space="preserve">Hibi · </t>
    </r>
    <r>
      <rPr>
        <b val="true"/>
        <sz val="16"/>
        <rFont val="Noto Sans CJK SC"/>
        <family val="2"/>
      </rPr>
      <t xml:space="preserve">宜忌词典</t>
    </r>
  </si>
  <si>
    <t xml:space="preserve">这是什么</t>
  </si>
  <si>
    <r>
      <rPr>
        <sz val="11"/>
        <rFont val="Noto Sans CJK SC"/>
        <family val="2"/>
      </rPr>
      <t xml:space="preserve">每天的宜、忌由真实黄历算出（</t>
    </r>
    <r>
      <rPr>
        <sz val="11"/>
        <rFont val="Arial"/>
        <family val="0"/>
        <charset val="1"/>
      </rPr>
      <t xml:space="preserve">lunar-javascript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2026–2030 </t>
    </r>
    <r>
      <rPr>
        <sz val="11"/>
        <rFont val="Noto Sans CJK SC"/>
        <family val="2"/>
      </rPr>
      <t xml:space="preserve">五年里一共出现 </t>
    </r>
    <r>
      <rPr>
        <sz val="11"/>
        <rFont val="Arial"/>
        <family val="0"/>
        <charset val="1"/>
      </rPr>
      <t xml:space="preserve">114 </t>
    </r>
    <r>
      <rPr>
        <sz val="11"/>
        <rFont val="Noto Sans CJK SC"/>
        <family val="2"/>
      </rPr>
      <t xml:space="preserve">个老词）。面板上不显示老词，只显示你在「词典」里为它写的现代版。</t>
    </r>
  </si>
  <si>
    <t xml:space="preserve">方向</t>
  </si>
  <si>
    <r>
      <rPr>
        <sz val="11"/>
        <rFont val="Arial"/>
        <family val="0"/>
        <charset val="1"/>
      </rPr>
      <t xml:space="preserve">A day for = </t>
    </r>
    <r>
      <rPr>
        <sz val="11"/>
        <rFont val="Noto Sans CJK SC"/>
        <family val="2"/>
      </rPr>
      <t xml:space="preserve">照顾自己：休息、喝水、运动、看云、联系家人和朋友。
</t>
    </r>
    <r>
      <rPr>
        <sz val="11"/>
        <rFont val="Arial"/>
        <family val="0"/>
        <charset val="1"/>
      </rPr>
      <t xml:space="preserve">Not for today = </t>
    </r>
    <r>
      <rPr>
        <sz val="11"/>
        <rFont val="Noto Sans CJK SC"/>
        <family val="2"/>
      </rPr>
      <t xml:space="preserve">拼命、激进、功利，或为还没发生的事焦虑。</t>
    </r>
  </si>
  <si>
    <t xml:space="preserve">你要改的</t>
  </si>
  <si>
    <r>
      <rPr>
        <sz val="11"/>
        <rFont val="Noto Sans CJK SC"/>
        <family val="2"/>
      </rPr>
      <t xml:space="preserve">只改「词典」里黄色的四列（</t>
    </r>
    <r>
      <rPr>
        <sz val="11"/>
        <rFont val="Arial"/>
        <family val="0"/>
        <charset val="1"/>
      </rPr>
      <t xml:space="preserve">E–H</t>
    </r>
    <r>
      <rPr>
        <sz val="11"/>
        <rFont val="Noto Sans CJK SC"/>
        <family val="2"/>
      </rPr>
      <t xml:space="preserve">）：中文 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个字，英文尽量不超过 </t>
    </r>
    <r>
      <rPr>
        <sz val="11"/>
        <rFont val="Arial"/>
        <family val="0"/>
        <charset val="1"/>
      </rPr>
      <t xml:space="preserve">26 </t>
    </r>
    <r>
      <rPr>
        <sz val="11"/>
        <rFont val="Noto Sans CJK SC"/>
        <family val="2"/>
      </rPr>
      <t xml:space="preserve">个字符。</t>
    </r>
    <r>
      <rPr>
        <sz val="11"/>
        <rFont val="Arial"/>
        <family val="0"/>
        <charset val="1"/>
      </rPr>
      <t xml:space="preserve">I </t>
    </r>
    <r>
      <rPr>
        <sz val="11"/>
        <rFont val="Noto Sans CJK SC"/>
        <family val="2"/>
      </rPr>
      <t xml:space="preserve">列会自动提示字数问题。</t>
    </r>
  </si>
  <si>
    <t xml:space="preserve">留空</t>
  </si>
  <si>
    <r>
      <rPr>
        <sz val="11"/>
        <rFont val="Noto Sans CJK SC"/>
        <family val="2"/>
      </rPr>
      <t xml:space="preserve">把某个格子清空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这个老词在那一侧永远不会被选中。</t>
    </r>
  </si>
  <si>
    <t xml:space="preserve">灰色格子</t>
  </si>
  <si>
    <t xml:space="preserve">这个老词从不出现在那一侧（例如「解除」从来不是忌），不用填。</t>
  </si>
  <si>
    <t xml:space="preserve">次数</t>
  </si>
  <si>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D </t>
    </r>
    <r>
      <rPr>
        <sz val="11"/>
        <rFont val="Noto Sans CJK SC"/>
        <family val="2"/>
      </rPr>
      <t xml:space="preserve">列是五年里出现的天数。次数越高越常被选到，建议先改排在前面的。</t>
    </r>
  </si>
  <si>
    <t xml:space="preserve">特殊日</t>
  </si>
  <si>
    <r>
      <rPr>
        <sz val="11"/>
        <rFont val="Noto Sans CJK SC"/>
        <family val="2"/>
      </rPr>
      <t xml:space="preserve">诸事不宜：当天的宜只有这一条（约每年 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天）。无：当天没有忌（约每年 </t>
    </r>
    <r>
      <rPr>
        <sz val="11"/>
        <rFont val="Arial"/>
        <family val="0"/>
        <charset val="1"/>
      </rPr>
      <t xml:space="preserve">11 </t>
    </r>
    <r>
      <rPr>
        <sz val="11"/>
        <rFont val="Noto Sans CJK SC"/>
        <family val="2"/>
      </rPr>
      <t xml:space="preserve">天）。馀事勿取：只是修饰语，不会被选中。</t>
    </r>
  </si>
  <si>
    <t xml:space="preserve">怎么选</t>
  </si>
  <si>
    <t xml:space="preserve">每天从当天真实的宜、忌列表里，各挑一个有现代版的老词；同一日期在任何设备上结果都一样，并尽量避开过去一周出现过的。</t>
  </si>
  <si>
    <t xml:space="preserve">预览</t>
  </si>
  <si>
    <r>
      <rPr>
        <sz val="11"/>
        <rFont val="Noto Sans CJK SC"/>
        <family val="2"/>
      </rPr>
      <t xml:space="preserve">「预览」页是从 </t>
    </r>
    <r>
      <rPr>
        <sz val="11"/>
        <rFont val="Arial"/>
        <family val="0"/>
        <charset val="1"/>
      </rPr>
      <t xml:space="preserve">2026-10-16 </t>
    </r>
    <r>
      <rPr>
        <sz val="11"/>
        <rFont val="Noto Sans CJK SC"/>
        <family val="2"/>
      </rPr>
      <t xml:space="preserve">起的 </t>
    </r>
    <r>
      <rPr>
        <sz val="11"/>
        <rFont val="Arial"/>
        <family val="0"/>
        <charset val="1"/>
      </rPr>
      <t xml:space="preserve">30 </t>
    </r>
    <r>
      <rPr>
        <sz val="11"/>
        <rFont val="Noto Sans CJK SC"/>
        <family val="2"/>
      </rPr>
      <t xml:space="preserve">天。挑中的老词是固定的，现代版会跟着你在「词典」里的修改自动更新。</t>
    </r>
  </si>
  <si>
    <t xml:space="preserve">示例</t>
  </si>
  <si>
    <r>
      <rPr>
        <sz val="11"/>
        <rFont val="Noto Sans CJK SC"/>
        <family val="2"/>
      </rPr>
      <t xml:space="preserve">第一行「安葬」：古义是埋葬逝者，宜写成「放下旧事 </t>
    </r>
    <r>
      <rPr>
        <sz val="11"/>
        <rFont val="Arial"/>
        <family val="0"/>
        <charset val="1"/>
      </rPr>
      <t xml:space="preserve">/ Let old things rest</t>
    </r>
    <r>
      <rPr>
        <sz val="11"/>
        <rFont val="Noto Sans CJK SC"/>
        <family val="2"/>
      </rPr>
      <t xml:space="preserve">」，忌写成「埋头苦干 </t>
    </r>
    <r>
      <rPr>
        <sz val="11"/>
        <rFont val="Arial"/>
        <family val="0"/>
        <charset val="1"/>
      </rPr>
      <t xml:space="preserve">/ Bury yourself in work</t>
    </r>
    <r>
      <rPr>
        <sz val="11"/>
        <rFont val="Noto Sans CJK SC"/>
        <family val="2"/>
      </rPr>
      <t xml:space="preserve">」。</t>
    </r>
  </si>
  <si>
    <t xml:space="preserve">老词</t>
  </si>
  <si>
    <t xml:space="preserve">古义</t>
  </si>
  <si>
    <r>
      <rPr>
        <b val="true"/>
        <sz val="11"/>
        <color rgb="FFFFFFFF"/>
        <rFont val="Noto Sans CJK SC"/>
        <family val="2"/>
      </rPr>
      <t xml:space="preserve">宜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次数</t>
    </r>
  </si>
  <si>
    <r>
      <rPr>
        <b val="true"/>
        <sz val="11"/>
        <color rgb="FFFFFFFF"/>
        <rFont val="Noto Sans CJK SC"/>
        <family val="2"/>
      </rPr>
      <t xml:space="preserve">忌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次数</t>
    </r>
  </si>
  <si>
    <r>
      <rPr>
        <b val="true"/>
        <sz val="11"/>
        <color rgb="FFFFFFFF"/>
        <rFont val="Arial"/>
        <family val="0"/>
        <charset val="1"/>
      </rPr>
      <t xml:space="preserve">A day for · </t>
    </r>
    <r>
      <rPr>
        <b val="true"/>
        <sz val="11"/>
        <color rgb="FFFFFFFF"/>
        <rFont val="Noto Sans CJK SC"/>
        <family val="2"/>
      </rPr>
      <t xml:space="preserve">中文</t>
    </r>
  </si>
  <si>
    <t xml:space="preserve">A day for · English</t>
  </si>
  <si>
    <r>
      <rPr>
        <b val="true"/>
        <sz val="11"/>
        <color rgb="FFFFFFFF"/>
        <rFont val="Arial"/>
        <family val="0"/>
        <charset val="1"/>
      </rPr>
      <t xml:space="preserve">Not for today · </t>
    </r>
    <r>
      <rPr>
        <b val="true"/>
        <sz val="11"/>
        <color rgb="FFFFFFFF"/>
        <rFont val="Noto Sans CJK SC"/>
        <family val="2"/>
      </rPr>
      <t xml:space="preserve">中文</t>
    </r>
  </si>
  <si>
    <t xml:space="preserve">Not for today · English</t>
  </si>
  <si>
    <t xml:space="preserve">检查</t>
  </si>
  <si>
    <t xml:space="preserve">安葬</t>
  </si>
  <si>
    <t xml:space="preserve">埋葬逝者</t>
  </si>
  <si>
    <t xml:space="preserve">放下旧事</t>
  </si>
  <si>
    <t xml:space="preserve">Let old things rest</t>
  </si>
  <si>
    <t xml:space="preserve">埋头苦干</t>
  </si>
  <si>
    <t xml:space="preserve">Bury yourself in work</t>
  </si>
  <si>
    <t xml:space="preserve">嫁娶</t>
  </si>
  <si>
    <t xml:space="preserve">结婚嫁娶</t>
  </si>
  <si>
    <t xml:space="preserve">拥抱家人</t>
  </si>
  <si>
    <t xml:space="preserve">Hug your family</t>
  </si>
  <si>
    <t xml:space="preserve">一口答应</t>
  </si>
  <si>
    <t xml:space="preserve">Say yes to everything</t>
  </si>
  <si>
    <t xml:space="preserve">祭祀</t>
  </si>
  <si>
    <t xml:space="preserve">祭拜祖先神明</t>
  </si>
  <si>
    <t xml:space="preserve">打给爸妈</t>
  </si>
  <si>
    <t xml:space="preserve">Call your parents</t>
  </si>
  <si>
    <t xml:space="preserve">许愿暴富</t>
  </si>
  <si>
    <t xml:space="preserve">Wish to get rich quick</t>
  </si>
  <si>
    <t xml:space="preserve">入宅</t>
  </si>
  <si>
    <t xml:space="preserve">搬入新居</t>
  </si>
  <si>
    <t xml:space="preserve">窝在家里</t>
  </si>
  <si>
    <t xml:space="preserve">Stay in and nest</t>
  </si>
  <si>
    <t xml:space="preserve">与人攀比</t>
  </si>
  <si>
    <t xml:space="preserve">Compare yourself</t>
  </si>
  <si>
    <t xml:space="preserve">动土</t>
  </si>
  <si>
    <t xml:space="preserve">建房破土开工</t>
  </si>
  <si>
    <t xml:space="preserve">赤脚踩草</t>
  </si>
  <si>
    <t xml:space="preserve">Walk barefoot on grass</t>
  </si>
  <si>
    <t xml:space="preserve">大干一场</t>
  </si>
  <si>
    <t xml:space="preserve">Go all in</t>
  </si>
  <si>
    <t xml:space="preserve">开市</t>
  </si>
  <si>
    <t xml:space="preserve">店铺开张营业</t>
  </si>
  <si>
    <t xml:space="preserve">慢慢开工</t>
  </si>
  <si>
    <t xml:space="preserve">Ease into the day</t>
  </si>
  <si>
    <t xml:space="preserve">冲刺业绩</t>
  </si>
  <si>
    <t xml:space="preserve">Chase your targets</t>
  </si>
  <si>
    <t xml:space="preserve">破土</t>
  </si>
  <si>
    <t xml:space="preserve">为墓地挖土</t>
  </si>
  <si>
    <t xml:space="preserve">种点花草</t>
  </si>
  <si>
    <t xml:space="preserve">Plant something</t>
  </si>
  <si>
    <t xml:space="preserve">另起炉灶</t>
  </si>
  <si>
    <t xml:space="preserve">Start yet another project</t>
  </si>
  <si>
    <t xml:space="preserve">出行</t>
  </si>
  <si>
    <t xml:space="preserve">外出远行</t>
  </si>
  <si>
    <t xml:space="preserve">出门走走</t>
  </si>
  <si>
    <t xml:space="preserve">Take a walk</t>
  </si>
  <si>
    <t xml:space="preserve">赶来赶去</t>
  </si>
  <si>
    <t xml:space="preserve">Rush from place to place</t>
  </si>
  <si>
    <t xml:space="preserve">祈福</t>
  </si>
  <si>
    <t xml:space="preserve">祈求神明降福</t>
  </si>
  <si>
    <t xml:space="preserve">许个心愿</t>
  </si>
  <si>
    <t xml:space="preserve">Make a small wish</t>
  </si>
  <si>
    <t xml:space="preserve">患得患失</t>
  </si>
  <si>
    <t xml:space="preserve">Fret over gains and losses</t>
  </si>
  <si>
    <t xml:space="preserve">移徙</t>
  </si>
  <si>
    <t xml:space="preserve">搬家迁居</t>
  </si>
  <si>
    <t xml:space="preserve">起身走动</t>
  </si>
  <si>
    <t xml:space="preserve">Get up and move</t>
  </si>
  <si>
    <t xml:space="preserve">跳槽加薪</t>
  </si>
  <si>
    <t xml:space="preserve">Job-hop for a raise</t>
  </si>
  <si>
    <t xml:space="preserve">安床</t>
  </si>
  <si>
    <t xml:space="preserve">安放床铺</t>
  </si>
  <si>
    <t xml:space="preserve">早早入睡</t>
  </si>
  <si>
    <t xml:space="preserve">Sleep early</t>
  </si>
  <si>
    <t xml:space="preserve">熬夜加班</t>
  </si>
  <si>
    <t xml:space="preserve">Stay up working</t>
  </si>
  <si>
    <t xml:space="preserve">开光</t>
  </si>
  <si>
    <t xml:space="preserve">神像开光</t>
  </si>
  <si>
    <t xml:space="preserve">看看云朵</t>
  </si>
  <si>
    <t xml:space="preserve">Watch the clouds</t>
  </si>
  <si>
    <t xml:space="preserve">死盯数据</t>
  </si>
  <si>
    <t xml:space="preserve">Obsess over metrics</t>
  </si>
  <si>
    <t xml:space="preserve">纳采</t>
  </si>
  <si>
    <t xml:space="preserve">提亲送聘礼</t>
  </si>
  <si>
    <t xml:space="preserve">送个小礼</t>
  </si>
  <si>
    <t xml:space="preserve">Give a small gift</t>
  </si>
  <si>
    <t xml:space="preserve">送礼攀交</t>
  </si>
  <si>
    <t xml:space="preserve">Gift for favors</t>
  </si>
  <si>
    <t xml:space="preserve">修造</t>
  </si>
  <si>
    <t xml:space="preserve">修建房屋</t>
  </si>
  <si>
    <t xml:space="preserve">缝颗纽扣</t>
  </si>
  <si>
    <t xml:space="preserve">Sew on a button</t>
  </si>
  <si>
    <t xml:space="preserve">推倒重来</t>
  </si>
  <si>
    <t xml:space="preserve">Tear it all down</t>
  </si>
  <si>
    <t xml:space="preserve">作灶</t>
  </si>
  <si>
    <t xml:space="preserve">修造炉灶</t>
  </si>
  <si>
    <t xml:space="preserve">煮碗热汤</t>
  </si>
  <si>
    <t xml:space="preserve">Cook a warm soup</t>
  </si>
  <si>
    <t xml:space="preserve">边吃边干</t>
  </si>
  <si>
    <t xml:space="preserve">Eat at your desk</t>
  </si>
  <si>
    <t xml:space="preserve">入殓</t>
  </si>
  <si>
    <t xml:space="preserve">遗体入棺</t>
  </si>
  <si>
    <t xml:space="preserve">盖好被子</t>
  </si>
  <si>
    <t xml:space="preserve">Tuck yourself in</t>
  </si>
  <si>
    <t xml:space="preserve">忙到忘我</t>
  </si>
  <si>
    <t xml:space="preserve">Lose yourself in work</t>
  </si>
  <si>
    <t xml:space="preserve">订盟</t>
  </si>
  <si>
    <t xml:space="preserve">订婚、结盟</t>
  </si>
  <si>
    <t xml:space="preserve">约个老友</t>
  </si>
  <si>
    <t xml:space="preserve">Meet an old friend</t>
  </si>
  <si>
    <t xml:space="preserve">拉帮结派</t>
  </si>
  <si>
    <t xml:space="preserve">Play office politics</t>
  </si>
  <si>
    <t xml:space="preserve">上梁</t>
  </si>
  <si>
    <t xml:space="preserve">安装房屋大梁</t>
  </si>
  <si>
    <t xml:space="preserve">伸个懒腰</t>
  </si>
  <si>
    <t xml:space="preserve">Have a long stretch</t>
  </si>
  <si>
    <t xml:space="preserve">硬扛到底</t>
  </si>
  <si>
    <t xml:space="preserve">Tough it out alone</t>
  </si>
  <si>
    <t xml:space="preserve">出火</t>
  </si>
  <si>
    <t xml:space="preserve">迁移神位香火</t>
  </si>
  <si>
    <t xml:space="preserve">晒晒太阳</t>
  </si>
  <si>
    <t xml:space="preserve">Soak up the sun</t>
  </si>
  <si>
    <t xml:space="preserve">火力全开</t>
  </si>
  <si>
    <t xml:space="preserve">Go full throttle</t>
  </si>
  <si>
    <t xml:space="preserve">解除</t>
  </si>
  <si>
    <t xml:space="preserve">扫舍、解除灾厄</t>
  </si>
  <si>
    <t xml:space="preserve">解开心结</t>
  </si>
  <si>
    <t xml:space="preserve">Let something go</t>
  </si>
  <si>
    <t xml:space="preserve">会亲友</t>
  </si>
  <si>
    <t xml:space="preserve">拜访亲友</t>
  </si>
  <si>
    <t xml:space="preserve">与友闲聊</t>
  </si>
  <si>
    <t xml:space="preserve">Chat with a friend</t>
  </si>
  <si>
    <t xml:space="preserve">只谈生意</t>
  </si>
  <si>
    <t xml:space="preserve">Talk only business</t>
  </si>
  <si>
    <t xml:space="preserve">栽种</t>
  </si>
  <si>
    <t xml:space="preserve">种植</t>
  </si>
  <si>
    <t xml:space="preserve">给花浇水</t>
  </si>
  <si>
    <t xml:space="preserve">Water the plants</t>
  </si>
  <si>
    <t xml:space="preserve">揠苗助长</t>
  </si>
  <si>
    <t xml:space="preserve">Force things to grow</t>
  </si>
  <si>
    <t xml:space="preserve">交易</t>
  </si>
  <si>
    <t xml:space="preserve">买卖交易</t>
  </si>
  <si>
    <t xml:space="preserve">互道近况</t>
  </si>
  <si>
    <t xml:space="preserve">Swap news with someone</t>
  </si>
  <si>
    <t xml:space="preserve">斤斤计较</t>
  </si>
  <si>
    <t xml:space="preserve">Count every penny</t>
  </si>
  <si>
    <t xml:space="preserve">立券</t>
  </si>
  <si>
    <t xml:space="preserve">订立契约</t>
  </si>
  <si>
    <t xml:space="preserve">提笔写字</t>
  </si>
  <si>
    <t xml:space="preserve">Write by hand</t>
  </si>
  <si>
    <t xml:space="preserve">把话说满</t>
  </si>
  <si>
    <t xml:space="preserve">Overpromise</t>
  </si>
  <si>
    <t xml:space="preserve">馀事勿取</t>
  </si>
  <si>
    <t xml:space="preserve">其余事都不宜（修饰语，不单独显示）</t>
  </si>
  <si>
    <t xml:space="preserve">安门</t>
  </si>
  <si>
    <t xml:space="preserve">安装大门</t>
  </si>
  <si>
    <t xml:space="preserve">关门休息</t>
  </si>
  <si>
    <t xml:space="preserve">Close the door and rest</t>
  </si>
  <si>
    <t xml:space="preserve">来者不拒</t>
  </si>
  <si>
    <t xml:space="preserve">Take on every request</t>
  </si>
  <si>
    <t xml:space="preserve">纳畜</t>
  </si>
  <si>
    <t xml:space="preserve">买入家畜</t>
  </si>
  <si>
    <t xml:space="preserve">撸猫撸狗</t>
  </si>
  <si>
    <t xml:space="preserve">Pet a cat or a dog</t>
  </si>
  <si>
    <t xml:space="preserve">囤货抢购</t>
  </si>
  <si>
    <t xml:space="preserve">Panic-buy and hoard</t>
  </si>
  <si>
    <t xml:space="preserve">斋醮</t>
  </si>
  <si>
    <t xml:space="preserve">设坛祭祷</t>
  </si>
  <si>
    <t xml:space="preserve">发呆片刻</t>
  </si>
  <si>
    <t xml:space="preserve">Stare into space</t>
  </si>
  <si>
    <t xml:space="preserve">多线并行</t>
  </si>
  <si>
    <t xml:space="preserve">Multitask everything</t>
  </si>
  <si>
    <t xml:space="preserve">求嗣</t>
  </si>
  <si>
    <t xml:space="preserve">祈求子嗣</t>
  </si>
  <si>
    <t xml:space="preserve">找回童心</t>
  </si>
  <si>
    <t xml:space="preserve">Play like a child</t>
  </si>
  <si>
    <t xml:space="preserve">移柩</t>
  </si>
  <si>
    <t xml:space="preserve">移动灵柩</t>
  </si>
  <si>
    <t xml:space="preserve">换个姿势</t>
  </si>
  <si>
    <t xml:space="preserve">Change your posture</t>
  </si>
  <si>
    <t xml:space="preserve">连轴运转</t>
  </si>
  <si>
    <t xml:space="preserve">Run nonstop</t>
  </si>
  <si>
    <t xml:space="preserve">启钻</t>
  </si>
  <si>
    <t xml:space="preserve">开坟迁葬</t>
  </si>
  <si>
    <t xml:space="preserve">翻翻旧照</t>
  </si>
  <si>
    <t xml:space="preserve">Look at old photos</t>
  </si>
  <si>
    <t xml:space="preserve">翻看旧账</t>
  </si>
  <si>
    <t xml:space="preserve">Dwell on the past</t>
  </si>
  <si>
    <t xml:space="preserve">拆卸</t>
  </si>
  <si>
    <t xml:space="preserve">拆除旧屋</t>
  </si>
  <si>
    <t xml:space="preserve">卸下包袱</t>
  </si>
  <si>
    <t xml:space="preserve">Put your burdens down</t>
  </si>
  <si>
    <t xml:space="preserve">成服</t>
  </si>
  <si>
    <t xml:space="preserve">穿上丧服</t>
  </si>
  <si>
    <t xml:space="preserve">穿件软衣</t>
  </si>
  <si>
    <t xml:space="preserve">Wear something soft</t>
  </si>
  <si>
    <t xml:space="preserve">全副武装</t>
  </si>
  <si>
    <t xml:space="preserve">Armor up for battle</t>
  </si>
  <si>
    <t xml:space="preserve">除服</t>
  </si>
  <si>
    <t xml:space="preserve">脱下丧服</t>
  </si>
  <si>
    <t xml:space="preserve">换上睡衣</t>
  </si>
  <si>
    <t xml:space="preserve">Change into pajamas</t>
  </si>
  <si>
    <t xml:space="preserve">带病上班</t>
  </si>
  <si>
    <t xml:space="preserve">Work while sick</t>
  </si>
  <si>
    <t xml:space="preserve">起基</t>
  </si>
  <si>
    <t xml:space="preserve">打地基</t>
  </si>
  <si>
    <t xml:space="preserve">吃好早餐</t>
  </si>
  <si>
    <t xml:space="preserve">Eat a proper breakfast</t>
  </si>
  <si>
    <t xml:space="preserve">规划十年</t>
  </si>
  <si>
    <t xml:space="preserve">Plan the next ten years</t>
  </si>
  <si>
    <t xml:space="preserve">掘井</t>
  </si>
  <si>
    <t xml:space="preserve">挖井</t>
  </si>
  <si>
    <t xml:space="preserve">多喝点水</t>
  </si>
  <si>
    <t xml:space="preserve">Drink more water</t>
  </si>
  <si>
    <t xml:space="preserve">钻牛角尖</t>
  </si>
  <si>
    <t xml:space="preserve">Overthink it</t>
  </si>
  <si>
    <t xml:space="preserve">沐浴</t>
  </si>
  <si>
    <t xml:space="preserve">斋戒沐浴</t>
  </si>
  <si>
    <t xml:space="preserve">泡个热澡</t>
  </si>
  <si>
    <t xml:space="preserve">Take a warm bath</t>
  </si>
  <si>
    <t xml:space="preserve">盖屋</t>
  </si>
  <si>
    <t xml:space="preserve">盖房子</t>
  </si>
  <si>
    <t xml:space="preserve">窝进被窝</t>
  </si>
  <si>
    <t xml:space="preserve">Burrow under the covers</t>
  </si>
  <si>
    <t xml:space="preserve">层层加码</t>
  </si>
  <si>
    <t xml:space="preserve">Keep raising the bar</t>
  </si>
  <si>
    <t xml:space="preserve">冠笄</t>
  </si>
  <si>
    <t xml:space="preserve">成年礼</t>
  </si>
  <si>
    <t xml:space="preserve">夸夸自己</t>
  </si>
  <si>
    <t xml:space="preserve">Praise yourself</t>
  </si>
  <si>
    <t xml:space="preserve">急于证明</t>
  </si>
  <si>
    <t xml:space="preserve">Rush to prove yourself</t>
  </si>
  <si>
    <t xml:space="preserve">纳财</t>
  </si>
  <si>
    <t xml:space="preserve">收进钱财</t>
  </si>
  <si>
    <t xml:space="preserve">收下好意</t>
  </si>
  <si>
    <t xml:space="preserve">Accept a kindness</t>
  </si>
  <si>
    <t xml:space="preserve">见钱眼开</t>
  </si>
  <si>
    <t xml:space="preserve">Chase every dollar</t>
  </si>
  <si>
    <t xml:space="preserve">伐木</t>
  </si>
  <si>
    <t xml:space="preserve">砍伐树木</t>
  </si>
  <si>
    <t xml:space="preserve">看看树叶</t>
  </si>
  <si>
    <t xml:space="preserve">Look at the trees</t>
  </si>
  <si>
    <t xml:space="preserve">牺牲睡眠</t>
  </si>
  <si>
    <t xml:space="preserve">Trade sleep for work</t>
  </si>
  <si>
    <t xml:space="preserve">牧养</t>
  </si>
  <si>
    <t xml:space="preserve">放牧饲养</t>
  </si>
  <si>
    <t xml:space="preserve">慢慢吃饭</t>
  </si>
  <si>
    <t xml:space="preserve">Eat slowly</t>
  </si>
  <si>
    <t xml:space="preserve">压榨自己</t>
  </si>
  <si>
    <t xml:space="preserve">Squeeze yourself dry</t>
  </si>
  <si>
    <t xml:space="preserve">进人口</t>
  </si>
  <si>
    <t xml:space="preserve">添丁、收养或雇人</t>
  </si>
  <si>
    <t xml:space="preserve">认识新友</t>
  </si>
  <si>
    <t xml:space="preserve">Make a new friend</t>
  </si>
  <si>
    <t xml:space="preserve">招兵买马</t>
  </si>
  <si>
    <t xml:space="preserve">Scale up fast</t>
  </si>
  <si>
    <t xml:space="preserve">治病</t>
  </si>
  <si>
    <t xml:space="preserve">求医治病</t>
  </si>
  <si>
    <t xml:space="preserve">照顾身体</t>
  </si>
  <si>
    <t xml:space="preserve">Look after your body</t>
  </si>
  <si>
    <t xml:space="preserve">小病硬扛</t>
  </si>
  <si>
    <t xml:space="preserve">Ignore your aches</t>
  </si>
  <si>
    <t xml:space="preserve">行丧</t>
  </si>
  <si>
    <t xml:space="preserve">办理丧事</t>
  </si>
  <si>
    <t xml:space="preserve">自我内耗</t>
  </si>
  <si>
    <t xml:space="preserve">Wear yourself down</t>
  </si>
  <si>
    <t xml:space="preserve">谢土</t>
  </si>
  <si>
    <t xml:space="preserve">完工后酬谢土地神</t>
  </si>
  <si>
    <t xml:space="preserve">道声谢谢</t>
  </si>
  <si>
    <t xml:space="preserve">Say thank you</t>
  </si>
  <si>
    <t xml:space="preserve">邀功请赏</t>
  </si>
  <si>
    <t xml:space="preserve">Fish for credit</t>
  </si>
  <si>
    <t xml:space="preserve">裁衣</t>
  </si>
  <si>
    <t xml:space="preserve">裁制新衣</t>
  </si>
  <si>
    <t xml:space="preserve">穿得舒服</t>
  </si>
  <si>
    <t xml:space="preserve">Dress for comfort</t>
  </si>
  <si>
    <t xml:space="preserve">冲动消费</t>
  </si>
  <si>
    <t xml:space="preserve">Shop on impulse</t>
  </si>
  <si>
    <t xml:space="preserve">竖柱</t>
  </si>
  <si>
    <t xml:space="preserve">竖立房柱</t>
  </si>
  <si>
    <t xml:space="preserve">站直舒展</t>
  </si>
  <si>
    <t xml:space="preserve">Stand tall and stretch</t>
  </si>
  <si>
    <t xml:space="preserve">死撑面子</t>
  </si>
  <si>
    <t xml:space="preserve">Keep up appearances</t>
  </si>
  <si>
    <t xml:space="preserve">理发</t>
  </si>
  <si>
    <t xml:space="preserve">剪发</t>
  </si>
  <si>
    <t xml:space="preserve">剪个头发</t>
  </si>
  <si>
    <t xml:space="preserve">Get a haircut</t>
  </si>
  <si>
    <t xml:space="preserve">熬到脱发</t>
  </si>
  <si>
    <t xml:space="preserve">Grind till you go bald</t>
  </si>
  <si>
    <t xml:space="preserve">捕捉</t>
  </si>
  <si>
    <t xml:space="preserve">捕捉害兽</t>
  </si>
  <si>
    <t xml:space="preserve">捉片落叶</t>
  </si>
  <si>
    <t xml:space="preserve">Catch a falling leaf</t>
  </si>
  <si>
    <t xml:space="preserve">抢占先机</t>
  </si>
  <si>
    <t xml:space="preserve">Race to be first</t>
  </si>
  <si>
    <t xml:space="preserve">安香</t>
  </si>
  <si>
    <t xml:space="preserve">安放香炉神位</t>
  </si>
  <si>
    <t xml:space="preserve">点支香薰</t>
  </si>
  <si>
    <t xml:space="preserve">Light a scented candle</t>
  </si>
  <si>
    <t xml:space="preserve">求神升职</t>
  </si>
  <si>
    <t xml:space="preserve">Pray for a promotion</t>
  </si>
  <si>
    <t xml:space="preserve">结网</t>
  </si>
  <si>
    <t xml:space="preserve">编织渔网</t>
  </si>
  <si>
    <t xml:space="preserve">织点东西</t>
  </si>
  <si>
    <t xml:space="preserve">Knit something</t>
  </si>
  <si>
    <t xml:space="preserve">安机械</t>
  </si>
  <si>
    <t xml:space="preserve">安装机器</t>
  </si>
  <si>
    <t xml:space="preserve">关掉通知</t>
  </si>
  <si>
    <t xml:space="preserve">Turn off notifications</t>
  </si>
  <si>
    <t xml:space="preserve">修坟</t>
  </si>
  <si>
    <t xml:space="preserve">修整坟墓</t>
  </si>
  <si>
    <t xml:space="preserve">打扫角落</t>
  </si>
  <si>
    <t xml:space="preserve">Clean a quiet corner</t>
  </si>
  <si>
    <t xml:space="preserve">反复返工</t>
  </si>
  <si>
    <t xml:space="preserve">Redo it again and again</t>
  </si>
  <si>
    <t xml:space="preserve">扫舍</t>
  </si>
  <si>
    <t xml:space="preserve">打扫房屋</t>
  </si>
  <si>
    <t xml:space="preserve">收拾书桌</t>
  </si>
  <si>
    <t xml:space="preserve">Tidy your desk</t>
  </si>
  <si>
    <t xml:space="preserve">卷个不停</t>
  </si>
  <si>
    <t xml:space="preserve">Hustle nonstop</t>
  </si>
  <si>
    <t xml:space="preserve">造畜稠</t>
  </si>
  <si>
    <t xml:space="preserve">修建牲畜棚圈</t>
  </si>
  <si>
    <t xml:space="preserve">布置小窝</t>
  </si>
  <si>
    <t xml:space="preserve">Make your corner cozy</t>
  </si>
  <si>
    <t xml:space="preserve">堆满日程</t>
  </si>
  <si>
    <t xml:space="preserve">Pack your schedule</t>
  </si>
  <si>
    <t xml:space="preserve">开池</t>
  </si>
  <si>
    <t xml:space="preserve">开挖池塘</t>
  </si>
  <si>
    <t xml:space="preserve">看鱼游泳</t>
  </si>
  <si>
    <t xml:space="preserve">Watch the fish swim</t>
  </si>
  <si>
    <t xml:space="preserve">竭泽而渔</t>
  </si>
  <si>
    <t xml:space="preserve">Drain the pond dry</t>
  </si>
  <si>
    <t xml:space="preserve">畋猎</t>
  </si>
  <si>
    <t xml:space="preserve">打猎</t>
  </si>
  <si>
    <t xml:space="preserve">逛来逛去</t>
  </si>
  <si>
    <t xml:space="preserve">Wander at leisure</t>
  </si>
  <si>
    <t xml:space="preserve">塞穴</t>
  </si>
  <si>
    <t xml:space="preserve">堵塞洞穴</t>
  </si>
  <si>
    <t xml:space="preserve">补个好觉</t>
  </si>
  <si>
    <t xml:space="preserve">Catch up on sleep</t>
  </si>
  <si>
    <t xml:space="preserve">填满空闲</t>
  </si>
  <si>
    <t xml:space="preserve">Fill every free minute</t>
  </si>
  <si>
    <t xml:space="preserve">立碑</t>
  </si>
  <si>
    <t xml:space="preserve">竖立墓碑</t>
  </si>
  <si>
    <t xml:space="preserve">记下美事</t>
  </si>
  <si>
    <t xml:space="preserve">Note a good moment</t>
  </si>
  <si>
    <t xml:space="preserve">树立丰碑</t>
  </si>
  <si>
    <t xml:space="preserve">Build your legacy</t>
  </si>
  <si>
    <t xml:space="preserve">塑绘</t>
  </si>
  <si>
    <t xml:space="preserve">塑像、绘画</t>
  </si>
  <si>
    <t xml:space="preserve">随手画画</t>
  </si>
  <si>
    <t xml:space="preserve">Doodle something</t>
  </si>
  <si>
    <t xml:space="preserve">经营人设</t>
  </si>
  <si>
    <t xml:space="preserve">Curate your image</t>
  </si>
  <si>
    <t xml:space="preserve">坏垣</t>
  </si>
  <si>
    <t xml:space="preserve">拆毁墙垣</t>
  </si>
  <si>
    <t xml:space="preserve">打破常规</t>
  </si>
  <si>
    <t xml:space="preserve">Break your routine</t>
  </si>
  <si>
    <t xml:space="preserve">作梁</t>
  </si>
  <si>
    <t xml:space="preserve">制作房梁</t>
  </si>
  <si>
    <t xml:space="preserve">挺直腰背</t>
  </si>
  <si>
    <t xml:space="preserve">Straighten your back</t>
  </si>
  <si>
    <t xml:space="preserve">独挑大梁</t>
  </si>
  <si>
    <t xml:space="preserve">Carry the whole team</t>
  </si>
  <si>
    <t xml:space="preserve">破屋</t>
  </si>
  <si>
    <t xml:space="preserve">拆除房屋</t>
  </si>
  <si>
    <t xml:space="preserve">走出屋子</t>
  </si>
  <si>
    <t xml:space="preserve">Step outside</t>
  </si>
  <si>
    <t xml:space="preserve">挂匾</t>
  </si>
  <si>
    <t xml:space="preserve">悬挂匾额</t>
  </si>
  <si>
    <t xml:space="preserve">挂幅小画</t>
  </si>
  <si>
    <t xml:space="preserve">Hang a little picture</t>
  </si>
  <si>
    <t xml:space="preserve">炫耀成绩</t>
  </si>
  <si>
    <t xml:space="preserve">Show off your wins</t>
  </si>
  <si>
    <t xml:space="preserve">求医</t>
  </si>
  <si>
    <t xml:space="preserve">看医生</t>
  </si>
  <si>
    <t xml:space="preserve">预约体检</t>
  </si>
  <si>
    <t xml:space="preserve">Book a check-up</t>
  </si>
  <si>
    <t xml:space="preserve">置产</t>
  </si>
  <si>
    <t xml:space="preserve">购置产业</t>
  </si>
  <si>
    <t xml:space="preserve">买束鲜花</t>
  </si>
  <si>
    <t xml:space="preserve">Buy yourself flowers</t>
  </si>
  <si>
    <t xml:space="preserve">贪多求快</t>
  </si>
  <si>
    <t xml:space="preserve">Rush for more</t>
  </si>
  <si>
    <t xml:space="preserve">开仓</t>
  </si>
  <si>
    <t xml:space="preserve">开仓出货</t>
  </si>
  <si>
    <t xml:space="preserve">分享零食</t>
  </si>
  <si>
    <t xml:space="preserve">Share your snacks</t>
  </si>
  <si>
    <t xml:space="preserve">全仓押注</t>
  </si>
  <si>
    <t xml:space="preserve">Bet it all</t>
  </si>
  <si>
    <t xml:space="preserve">经络</t>
  </si>
  <si>
    <t xml:space="preserve">纺织（安装织机）</t>
  </si>
  <si>
    <t xml:space="preserve">按按肩颈</t>
  </si>
  <si>
    <t xml:space="preserve">Rub your shoulders</t>
  </si>
  <si>
    <t xml:space="preserve">久坐不动</t>
  </si>
  <si>
    <t xml:space="preserve">Sit all day</t>
  </si>
  <si>
    <t xml:space="preserve">平治道涂</t>
  </si>
  <si>
    <t xml:space="preserve">修整道路</t>
  </si>
  <si>
    <t xml:space="preserve">绕路散步</t>
  </si>
  <si>
    <t xml:space="preserve">Take the long way round</t>
  </si>
  <si>
    <t xml:space="preserve">造庙</t>
  </si>
  <si>
    <t xml:space="preserve">建造庙宇</t>
  </si>
  <si>
    <t xml:space="preserve">公园坐坐</t>
  </si>
  <si>
    <t xml:space="preserve">Sit in a park</t>
  </si>
  <si>
    <t xml:space="preserve">盲目崇拜</t>
  </si>
  <si>
    <t xml:space="preserve">Worship success</t>
  </si>
  <si>
    <t xml:space="preserve">造桥</t>
  </si>
  <si>
    <t xml:space="preserve">建桥</t>
  </si>
  <si>
    <t xml:space="preserve">联系旧友</t>
  </si>
  <si>
    <t xml:space="preserve">Reach out to someone</t>
  </si>
  <si>
    <t xml:space="preserve">刻意社交</t>
  </si>
  <si>
    <t xml:space="preserve">Network for gain</t>
  </si>
  <si>
    <t xml:space="preserve">定磉</t>
  </si>
  <si>
    <t xml:space="preserve">安放柱下石墩</t>
  </si>
  <si>
    <t xml:space="preserve">双脚落地</t>
  </si>
  <si>
    <t xml:space="preserve">Feel the ground</t>
  </si>
  <si>
    <t xml:space="preserve">求稳求全</t>
  </si>
  <si>
    <t xml:space="preserve">Try to control it all</t>
  </si>
  <si>
    <t xml:space="preserve">造船</t>
  </si>
  <si>
    <t xml:space="preserve">去看看海</t>
  </si>
  <si>
    <t xml:space="preserve">Go see the sea</t>
  </si>
  <si>
    <t xml:space="preserve">赶上风口</t>
  </si>
  <si>
    <t xml:space="preserve">Ride the next big wave</t>
  </si>
  <si>
    <t xml:space="preserve">探病</t>
  </si>
  <si>
    <t xml:space="preserve">探望病人</t>
  </si>
  <si>
    <t xml:space="preserve">打听薪水</t>
  </si>
  <si>
    <t xml:space="preserve">Compare salaries</t>
  </si>
  <si>
    <t xml:space="preserve">合寿木</t>
  </si>
  <si>
    <t xml:space="preserve">制作棺木</t>
  </si>
  <si>
    <t xml:space="preserve">做个手工</t>
  </si>
  <si>
    <t xml:space="preserve">Make something by hand</t>
  </si>
  <si>
    <t xml:space="preserve">忧心明日</t>
  </si>
  <si>
    <t xml:space="preserve">Worry about tomorrow</t>
  </si>
  <si>
    <t xml:space="preserve">放水</t>
  </si>
  <si>
    <t xml:space="preserve">放水入田</t>
  </si>
  <si>
    <t xml:space="preserve">放自己假</t>
  </si>
  <si>
    <t xml:space="preserve">Give yourself a break</t>
  </si>
  <si>
    <t xml:space="preserve">诸事不宜</t>
  </si>
  <si>
    <t xml:space="preserve">什么事都不宜（特殊日）</t>
  </si>
  <si>
    <t xml:space="preserve">无所事事</t>
  </si>
  <si>
    <t xml:space="preserve">Do nothing at all</t>
  </si>
  <si>
    <t xml:space="preserve">样样都做</t>
  </si>
  <si>
    <t xml:space="preserve">Try to do it all</t>
  </si>
  <si>
    <t xml:space="preserve">补垣</t>
  </si>
  <si>
    <t xml:space="preserve">修补墙垣</t>
  </si>
  <si>
    <t xml:space="preserve">喝杯好茶</t>
  </si>
  <si>
    <t xml:space="preserve">Brew a good tea</t>
  </si>
  <si>
    <t xml:space="preserve">补位加班</t>
  </si>
  <si>
    <t xml:space="preserve">Cover everyone’s shift</t>
  </si>
  <si>
    <t xml:space="preserve">造车器</t>
  </si>
  <si>
    <t xml:space="preserve">制造车具</t>
  </si>
  <si>
    <t xml:space="preserve">骑骑单车</t>
  </si>
  <si>
    <t xml:space="preserve">Go for a bike ride</t>
  </si>
  <si>
    <t xml:space="preserve">修饰垣墙</t>
  </si>
  <si>
    <t xml:space="preserve">粉饰墙面</t>
  </si>
  <si>
    <t xml:space="preserve">拉开窗帘</t>
  </si>
  <si>
    <t xml:space="preserve">Open the curtains</t>
  </si>
  <si>
    <t xml:space="preserve">出货财</t>
  </si>
  <si>
    <t xml:space="preserve">出售货物</t>
  </si>
  <si>
    <t xml:space="preserve">请人吃饭</t>
  </si>
  <si>
    <t xml:space="preserve">Treat someone to a meal</t>
  </si>
  <si>
    <t xml:space="preserve">急着变现</t>
  </si>
  <si>
    <t xml:space="preserve">Cash in everything</t>
  </si>
  <si>
    <t xml:space="preserve">入学</t>
  </si>
  <si>
    <t xml:space="preserve">入学拜师</t>
  </si>
  <si>
    <t xml:space="preserve">读几页书</t>
  </si>
  <si>
    <t xml:space="preserve">Read a few pages</t>
  </si>
  <si>
    <t xml:space="preserve">疯狂报班</t>
  </si>
  <si>
    <t xml:space="preserve">Sign up for every course</t>
  </si>
  <si>
    <t xml:space="preserve">教牛马</t>
  </si>
  <si>
    <t xml:space="preserve">训练牛马</t>
  </si>
  <si>
    <t xml:space="preserve">不当牛马</t>
  </si>
  <si>
    <t xml:space="preserve">Stop being a workhorse</t>
  </si>
  <si>
    <t xml:space="preserve">开生坟</t>
  </si>
  <si>
    <t xml:space="preserve">生前预造坟墓</t>
  </si>
  <si>
    <t xml:space="preserve">留白片刻</t>
  </si>
  <si>
    <t xml:space="preserve">Leave some blank space</t>
  </si>
  <si>
    <t xml:space="preserve">杞人忧天</t>
  </si>
  <si>
    <t xml:space="preserve">Worry the sky will fall</t>
  </si>
  <si>
    <t xml:space="preserve">合帐</t>
  </si>
  <si>
    <t xml:space="preserve">制作蚊帐</t>
  </si>
  <si>
    <t xml:space="preserve">午睡片刻</t>
  </si>
  <si>
    <t xml:space="preserve">Take a nap</t>
  </si>
  <si>
    <t xml:space="preserve">不眠不休</t>
  </si>
  <si>
    <t xml:space="preserve">Go without rest</t>
  </si>
  <si>
    <t xml:space="preserve">架马</t>
  </si>
  <si>
    <t xml:space="preserve">架设木工马架</t>
  </si>
  <si>
    <t xml:space="preserve">慢跑一圈</t>
  </si>
  <si>
    <t xml:space="preserve">Go for a gentle jog</t>
  </si>
  <si>
    <t xml:space="preserve">马不停蹄</t>
  </si>
  <si>
    <t xml:space="preserve">Never stop</t>
  </si>
  <si>
    <t xml:space="preserve">开厕</t>
  </si>
  <si>
    <t xml:space="preserve">修建厕所</t>
  </si>
  <si>
    <t xml:space="preserve">清空大脑</t>
  </si>
  <si>
    <t xml:space="preserve">Empty your mind</t>
  </si>
  <si>
    <t xml:space="preserve">憋着干活</t>
  </si>
  <si>
    <t xml:space="preserve">Skip your breaks</t>
  </si>
  <si>
    <t xml:space="preserve">词讼</t>
  </si>
  <si>
    <t xml:space="preserve">打官司</t>
  </si>
  <si>
    <t xml:space="preserve">争个输赢</t>
  </si>
  <si>
    <t xml:space="preserve">Fight to win</t>
  </si>
  <si>
    <t xml:space="preserve">开渠</t>
  </si>
  <si>
    <t xml:space="preserve">开挖水渠</t>
  </si>
  <si>
    <t xml:space="preserve">倾诉心事</t>
  </si>
  <si>
    <t xml:space="preserve">Talk it out</t>
  </si>
  <si>
    <t xml:space="preserve">开个副业</t>
  </si>
  <si>
    <t xml:space="preserve">Start a side hustle</t>
  </si>
  <si>
    <t xml:space="preserve">取渔</t>
  </si>
  <si>
    <t xml:space="preserve">捕鱼</t>
  </si>
  <si>
    <t xml:space="preserve">河边坐坐</t>
  </si>
  <si>
    <t xml:space="preserve">Sit by the water</t>
  </si>
  <si>
    <t xml:space="preserve">抢抓机会</t>
  </si>
  <si>
    <t xml:space="preserve">Grab every chance</t>
  </si>
  <si>
    <t xml:space="preserve">造仓</t>
  </si>
  <si>
    <t xml:space="preserve">建造仓库</t>
  </si>
  <si>
    <t xml:space="preserve">攒点快乐</t>
  </si>
  <si>
    <t xml:space="preserve">Save up small joys</t>
  </si>
  <si>
    <t xml:space="preserve">无</t>
  </si>
  <si>
    <t xml:space="preserve">无所忌讳（特殊日）</t>
  </si>
  <si>
    <t xml:space="preserve">百无禁忌</t>
  </si>
  <si>
    <t xml:space="preserve">Nothing is off-limits</t>
  </si>
  <si>
    <t xml:space="preserve">赴任</t>
  </si>
  <si>
    <t xml:space="preserve">上任就职</t>
  </si>
  <si>
    <t xml:space="preserve">早点下班</t>
  </si>
  <si>
    <t xml:space="preserve">Leave work early</t>
  </si>
  <si>
    <t xml:space="preserve">争当第一</t>
  </si>
  <si>
    <t xml:space="preserve">Fight for first place</t>
  </si>
  <si>
    <t xml:space="preserve">安碓磑</t>
  </si>
  <si>
    <t xml:space="preserve">安装石臼石磨</t>
  </si>
  <si>
    <t xml:space="preserve">磨杯咖啡</t>
  </si>
  <si>
    <t xml:space="preserve">Grind some coffee</t>
  </si>
  <si>
    <t xml:space="preserve">打磨到死</t>
  </si>
  <si>
    <t xml:space="preserve">Polish it to death</t>
  </si>
  <si>
    <t xml:space="preserve">针灸</t>
  </si>
  <si>
    <t xml:space="preserve">针灸治疗</t>
  </si>
  <si>
    <t xml:space="preserve">做做按摩</t>
  </si>
  <si>
    <t xml:space="preserve">Get a massage</t>
  </si>
  <si>
    <t xml:space="preserve">针锋相对</t>
  </si>
  <si>
    <t xml:space="preserve">Fight fire with fire</t>
  </si>
  <si>
    <t xml:space="preserve">整手足甲</t>
  </si>
  <si>
    <t xml:space="preserve">修剪指甲</t>
  </si>
  <si>
    <t xml:space="preserve">修修指甲</t>
  </si>
  <si>
    <t xml:space="preserve">Trim your nails</t>
  </si>
  <si>
    <t xml:space="preserve">合脊</t>
  </si>
  <si>
    <t xml:space="preserve">屋脊合拢</t>
  </si>
  <si>
    <t xml:space="preserve">静听雨声</t>
  </si>
  <si>
    <t xml:space="preserve">Listen to the rain</t>
  </si>
  <si>
    <t xml:space="preserve">封顶冲刺</t>
  </si>
  <si>
    <t xml:space="preserve">Sprint to the finish</t>
  </si>
  <si>
    <t xml:space="preserve">开柱眼</t>
  </si>
  <si>
    <t xml:space="preserve">在柱上开孔</t>
  </si>
  <si>
    <t xml:space="preserve">闭目养神</t>
  </si>
  <si>
    <t xml:space="preserve">Close your eyes and rest</t>
  </si>
  <si>
    <t xml:space="preserve">普渡</t>
  </si>
  <si>
    <t xml:space="preserve">超度亡魂</t>
  </si>
  <si>
    <t xml:space="preserve">善待自己</t>
  </si>
  <si>
    <t xml:space="preserve">Be kind to yourself</t>
  </si>
  <si>
    <t xml:space="preserve">雕刻</t>
  </si>
  <si>
    <t xml:space="preserve">慢做一事</t>
  </si>
  <si>
    <t xml:space="preserve">Do one thing slowly</t>
  </si>
  <si>
    <t xml:space="preserve">断蚁</t>
  </si>
  <si>
    <t xml:space="preserve">除灭白蚁</t>
  </si>
  <si>
    <t xml:space="preserve">放过小事</t>
  </si>
  <si>
    <t xml:space="preserve">Let small things slide</t>
  </si>
  <si>
    <t xml:space="preserve">筑堤</t>
  </si>
  <si>
    <t xml:space="preserve">修筑堤坝</t>
  </si>
  <si>
    <t xml:space="preserve">守住边界</t>
  </si>
  <si>
    <t xml:space="preserve">Keep your boundaries</t>
  </si>
  <si>
    <t xml:space="preserve">习艺</t>
  </si>
  <si>
    <t xml:space="preserve">学习技艺</t>
  </si>
  <si>
    <t xml:space="preserve">弹首小曲</t>
  </si>
  <si>
    <t xml:space="preserve">Play a little tune</t>
  </si>
  <si>
    <t xml:space="preserve">问名</t>
  </si>
  <si>
    <t xml:space="preserve">问名纳吉（婚俗）</t>
  </si>
  <si>
    <t xml:space="preserve">问声你好</t>
  </si>
  <si>
    <t xml:space="preserve">Say hello to a neighbor</t>
  </si>
  <si>
    <t xml:space="preserve">打探底细</t>
  </si>
  <si>
    <t xml:space="preserve">Size people up</t>
  </si>
  <si>
    <t xml:space="preserve">纳婿</t>
  </si>
  <si>
    <t xml:space="preserve">招赘女婿</t>
  </si>
  <si>
    <t xml:space="preserve">家人聚餐</t>
  </si>
  <si>
    <t xml:space="preserve">Have dinner with family</t>
  </si>
  <si>
    <t xml:space="preserve">归岫</t>
  </si>
  <si>
    <t xml:space="preserve">归返山林（少见）</t>
  </si>
  <si>
    <t xml:space="preserve">去爬爬山</t>
  </si>
  <si>
    <t xml:space="preserve">Go for a hike</t>
  </si>
  <si>
    <t xml:space="preserve">割蜜</t>
  </si>
  <si>
    <t xml:space="preserve">采割蜂蜜</t>
  </si>
  <si>
    <t xml:space="preserve">吃点甜的</t>
  </si>
  <si>
    <t xml:space="preserve">Have something sweet</t>
  </si>
  <si>
    <t xml:space="preserve">分居</t>
  </si>
  <si>
    <t xml:space="preserve">分家</t>
  </si>
  <si>
    <t xml:space="preserve">独处一会</t>
  </si>
  <si>
    <t xml:space="preserve">Enjoy some time alone</t>
  </si>
  <si>
    <t xml:space="preserve">闭门苦干</t>
  </si>
  <si>
    <t xml:space="preserve">Lock yourself in to grind</t>
  </si>
  <si>
    <t xml:space="preserve">酬神</t>
  </si>
  <si>
    <t xml:space="preserve">酬谢神明</t>
  </si>
  <si>
    <t xml:space="preserve">感恩小事</t>
  </si>
  <si>
    <t xml:space="preserve">Thank the small things</t>
  </si>
  <si>
    <t xml:space="preserve">修门</t>
  </si>
  <si>
    <t xml:space="preserve">修理门户</t>
  </si>
  <si>
    <t xml:space="preserve">早点回家</t>
  </si>
  <si>
    <t xml:space="preserve">Head home early</t>
  </si>
  <si>
    <t xml:space="preserve">归宁</t>
  </si>
  <si>
    <t xml:space="preserve">出嫁女儿回娘家</t>
  </si>
  <si>
    <t xml:space="preserve">回家看看</t>
  </si>
  <si>
    <t xml:space="preserve">Visit home</t>
  </si>
  <si>
    <t xml:space="preserve">雇佣</t>
  </si>
  <si>
    <t xml:space="preserve">雇人</t>
  </si>
  <si>
    <t xml:space="preserve">请人帮忙</t>
  </si>
  <si>
    <t xml:space="preserve">Ask for help</t>
  </si>
  <si>
    <t xml:space="preserve">乘船</t>
  </si>
  <si>
    <t xml:space="preserve">乘船出行</t>
  </si>
  <si>
    <t xml:space="preserve">追末班车</t>
  </si>
  <si>
    <t xml:space="preserve">Chase the last train</t>
  </si>
  <si>
    <t xml:space="preserve">日期</t>
  </si>
  <si>
    <t xml:space="preserve">星期</t>
  </si>
  <si>
    <t xml:space="preserve">农历</t>
  </si>
  <si>
    <r>
      <rPr>
        <b val="true"/>
        <sz val="11"/>
        <color rgb="FFFFFFFF"/>
        <rFont val="Noto Sans CJK SC"/>
        <family val="2"/>
      </rPr>
      <t xml:space="preserve">宜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老词</t>
    </r>
  </si>
  <si>
    <r>
      <rPr>
        <b val="true"/>
        <sz val="11"/>
        <color rgb="FFFFFFFF"/>
        <rFont val="Noto Sans CJK SC"/>
        <family val="2"/>
      </rPr>
      <t xml:space="preserve">忌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老词</t>
    </r>
  </si>
  <si>
    <t xml:space="preserve">九月初七</t>
  </si>
  <si>
    <t xml:space="preserve">九月初八</t>
  </si>
  <si>
    <t xml:space="preserve">九月初九</t>
  </si>
  <si>
    <t xml:space="preserve">九月初十</t>
  </si>
  <si>
    <t xml:space="preserve">九月十一</t>
  </si>
  <si>
    <t xml:space="preserve">九月十二</t>
  </si>
  <si>
    <t xml:space="preserve">九月十三</t>
  </si>
  <si>
    <t xml:space="preserve">九月十四</t>
  </si>
  <si>
    <t xml:space="preserve">九月十五</t>
  </si>
  <si>
    <t xml:space="preserve">九月十六</t>
  </si>
  <si>
    <t xml:space="preserve">九月十七</t>
  </si>
  <si>
    <t xml:space="preserve">九月十八</t>
  </si>
  <si>
    <t xml:space="preserve">九月十九</t>
  </si>
  <si>
    <t xml:space="preserve">九月二十</t>
  </si>
  <si>
    <t xml:space="preserve">九月廿一</t>
  </si>
  <si>
    <t xml:space="preserve">九月廿二</t>
  </si>
  <si>
    <t xml:space="preserve">九月廿三</t>
  </si>
  <si>
    <t xml:space="preserve">九月廿四</t>
  </si>
  <si>
    <t xml:space="preserve">九月廿五</t>
  </si>
  <si>
    <t xml:space="preserve">九月廿六</t>
  </si>
  <si>
    <t xml:space="preserve">九月廿七</t>
  </si>
  <si>
    <t xml:space="preserve">九月廿八</t>
  </si>
  <si>
    <t xml:space="preserve">九月廿九</t>
  </si>
  <si>
    <t xml:space="preserve">九月三十</t>
  </si>
  <si>
    <t xml:space="preserve">十月初一</t>
  </si>
  <si>
    <t xml:space="preserve">十月初二</t>
  </si>
  <si>
    <t xml:space="preserve">十月初三</t>
  </si>
  <si>
    <t xml:space="preserve">十月初四</t>
  </si>
  <si>
    <t xml:space="preserve">十月初五</t>
  </si>
  <si>
    <t xml:space="preserve">十月初六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</si>
</sst>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6B6B6B"/>
      <name val="Noto Sans CJK SC"/>
      <family val="2"/>
    </font>
    <font>
      <sz val="10"/>
      <color rgb="FFB04A2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E5C55"/>
        <bgColor rgb="FF6B6B6B"/>
      </patternFill>
    </fill>
    <fill>
      <patternFill patternType="solid">
        <fgColor rgb="FFFFF6D5"/>
        <bgColor rgb="FFEEEEEC"/>
      </patternFill>
    </fill>
    <fill>
      <patternFill patternType="solid">
        <fgColor rgb="FFEEEEEC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E5C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EEEEEC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B04A2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EEEEEC"/>
      <rgbColor rgb="FF660066"/>
      <rgbColor rgb="FFFF8080"/>
      <rgbColor rgb="FF0066CC"/>
      <rgbColor rgb="FFDDDD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B04A2F"/>
      <rgbColor rgb="FF993366"/>
      <rgbColor rgb="FF333399"/>
      <rgbColor rgb="FF3E5C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3.75" hidden="false" customHeight="true" outlineLevel="0" collapsed="false">
      <c r="A3" s="3" t="s">
        <v>1</v>
      </c>
      <c r="B3" s="4" t="s">
        <v>2</v>
      </c>
    </row>
    <row r="4" customFormat="false" ht="48" hidden="false" customHeight="true" outlineLevel="0" collapsed="false">
      <c r="A4" s="3" t="s">
        <v>3</v>
      </c>
      <c r="B4" s="5" t="s">
        <v>4</v>
      </c>
    </row>
    <row r="5" customFormat="false" ht="33.75" hidden="false" customHeight="true" outlineLevel="0" collapsed="false">
      <c r="A5" s="3" t="s">
        <v>5</v>
      </c>
      <c r="B5" s="4" t="s">
        <v>6</v>
      </c>
    </row>
    <row r="6" customFormat="false" ht="33.75" hidden="false" customHeight="true" outlineLevel="0" collapsed="false">
      <c r="A6" s="3" t="s">
        <v>7</v>
      </c>
      <c r="B6" s="4" t="s">
        <v>8</v>
      </c>
    </row>
    <row r="7" customFormat="false" ht="33.75" hidden="false" customHeight="true" outlineLevel="0" collapsed="false">
      <c r="A7" s="3" t="s">
        <v>9</v>
      </c>
      <c r="B7" s="4" t="s">
        <v>10</v>
      </c>
    </row>
    <row r="8" customFormat="false" ht="33.75" hidden="false" customHeight="true" outlineLevel="0" collapsed="false">
      <c r="A8" s="3" t="s">
        <v>11</v>
      </c>
      <c r="B8" s="5" t="s">
        <v>12</v>
      </c>
    </row>
    <row r="9" customFormat="false" ht="33.75" hidden="false" customHeight="true" outlineLevel="0" collapsed="false">
      <c r="A9" s="3" t="s">
        <v>13</v>
      </c>
      <c r="B9" s="4" t="s">
        <v>14</v>
      </c>
    </row>
    <row r="10" customFormat="false" ht="33.75" hidden="false" customHeight="true" outlineLevel="0" collapsed="false">
      <c r="A10" s="3" t="s">
        <v>15</v>
      </c>
      <c r="B10" s="4" t="s">
        <v>16</v>
      </c>
    </row>
    <row r="11" customFormat="false" ht="33.75" hidden="false" customHeight="true" outlineLevel="0" collapsed="false">
      <c r="A11" s="3" t="s">
        <v>17</v>
      </c>
      <c r="B11" s="4" t="s">
        <v>18</v>
      </c>
    </row>
    <row r="12" customFormat="false" ht="33.75" hidden="false" customHeight="true" outlineLevel="0" collapsed="false">
      <c r="A12" s="3" t="s">
        <v>19</v>
      </c>
      <c r="B12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9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6"/>
  </cols>
  <sheetData>
    <row r="1" customFormat="false" ht="30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6" t="s">
        <v>29</v>
      </c>
    </row>
    <row r="2" customFormat="false" ht="15" hidden="false" customHeight="false" outlineLevel="0" collapsed="false">
      <c r="A2" s="8" t="s">
        <v>30</v>
      </c>
      <c r="B2" s="9" t="s">
        <v>31</v>
      </c>
      <c r="C2" s="10" t="n">
        <v>612</v>
      </c>
      <c r="D2" s="10" t="n">
        <v>765</v>
      </c>
      <c r="E2" s="11" t="s">
        <v>32</v>
      </c>
      <c r="F2" s="12" t="s">
        <v>33</v>
      </c>
      <c r="G2" s="11" t="s">
        <v>34</v>
      </c>
      <c r="H2" s="12" t="s">
        <v>35</v>
      </c>
      <c r="I2" s="13" t="str">
        <f aca="false">TRIM(IF(AND(E2&lt;&gt;"",LEN(E2)&lt;&gt;4),"宜不是4字 ","")&amp;IF(AND(G2&lt;&gt;"",LEN(G2)&lt;&gt;4),"忌不是4字 ","")&amp;IF(LEN(F2)&gt;26,"宜英文偏长 ","")&amp;IF(LEN(H2)&gt;26,"忌英文偏长",""))</f>
        <v/>
      </c>
    </row>
    <row r="3" customFormat="false" ht="15" hidden="false" customHeight="false" outlineLevel="0" collapsed="false">
      <c r="A3" s="8" t="s">
        <v>36</v>
      </c>
      <c r="B3" s="9" t="s">
        <v>37</v>
      </c>
      <c r="C3" s="10" t="n">
        <v>633</v>
      </c>
      <c r="D3" s="10" t="n">
        <v>719</v>
      </c>
      <c r="E3" s="11" t="s">
        <v>38</v>
      </c>
      <c r="F3" s="12" t="s">
        <v>39</v>
      </c>
      <c r="G3" s="11" t="s">
        <v>40</v>
      </c>
      <c r="H3" s="12" t="s">
        <v>41</v>
      </c>
      <c r="I3" s="13" t="str">
        <f aca="false">TRIM(IF(AND(E3&lt;&gt;"",LEN(E3)&lt;&gt;4),"宜不是4字 ","")&amp;IF(AND(G3&lt;&gt;"",LEN(G3)&lt;&gt;4),"忌不是4字 ","")&amp;IF(LEN(F3)&gt;26,"宜英文偏长 ","")&amp;IF(LEN(H3)&gt;26,"忌英文偏长",""))</f>
        <v/>
      </c>
    </row>
    <row r="4" customFormat="false" ht="15" hidden="false" customHeight="false" outlineLevel="0" collapsed="false">
      <c r="A4" s="8" t="s">
        <v>42</v>
      </c>
      <c r="B4" s="9" t="s">
        <v>43</v>
      </c>
      <c r="C4" s="10" t="n">
        <v>1212</v>
      </c>
      <c r="D4" s="10" t="n">
        <v>124</v>
      </c>
      <c r="E4" s="11" t="s">
        <v>44</v>
      </c>
      <c r="F4" s="12" t="s">
        <v>45</v>
      </c>
      <c r="G4" s="11" t="s">
        <v>46</v>
      </c>
      <c r="H4" s="12" t="s">
        <v>47</v>
      </c>
      <c r="I4" s="13" t="str">
        <f aca="false">TRIM(IF(AND(E4&lt;&gt;"",LEN(E4)&lt;&gt;4),"宜不是4字 ","")&amp;IF(AND(G4&lt;&gt;"",LEN(G4)&lt;&gt;4),"忌不是4字 ","")&amp;IF(LEN(F4)&gt;26,"宜英文偏长 ","")&amp;IF(LEN(H4)&gt;26,"忌英文偏长",""))</f>
        <v/>
      </c>
    </row>
    <row r="5" customFormat="false" ht="15" hidden="false" customHeight="false" outlineLevel="0" collapsed="false">
      <c r="A5" s="8" t="s">
        <v>48</v>
      </c>
      <c r="B5" s="9" t="s">
        <v>49</v>
      </c>
      <c r="C5" s="10" t="n">
        <v>474</v>
      </c>
      <c r="D5" s="10" t="n">
        <v>626</v>
      </c>
      <c r="E5" s="11" t="s">
        <v>50</v>
      </c>
      <c r="F5" s="12" t="s">
        <v>51</v>
      </c>
      <c r="G5" s="11" t="s">
        <v>52</v>
      </c>
      <c r="H5" s="12" t="s">
        <v>53</v>
      </c>
      <c r="I5" s="13" t="str">
        <f aca="false">TRIM(IF(AND(E5&lt;&gt;"",LEN(E5)&lt;&gt;4),"宜不是4字 ","")&amp;IF(AND(G5&lt;&gt;"",LEN(G5)&lt;&gt;4),"忌不是4字 ","")&amp;IF(LEN(F5)&gt;26,"宜英文偏长 ","")&amp;IF(LEN(H5)&gt;26,"忌英文偏长",""))</f>
        <v/>
      </c>
    </row>
    <row r="6" customFormat="false" ht="15" hidden="false" customHeight="false" outlineLevel="0" collapsed="false">
      <c r="A6" s="8" t="s">
        <v>54</v>
      </c>
      <c r="B6" s="9" t="s">
        <v>55</v>
      </c>
      <c r="C6" s="10" t="n">
        <v>572</v>
      </c>
      <c r="D6" s="10" t="n">
        <v>440</v>
      </c>
      <c r="E6" s="11" t="s">
        <v>56</v>
      </c>
      <c r="F6" s="12" t="s">
        <v>57</v>
      </c>
      <c r="G6" s="11" t="s">
        <v>58</v>
      </c>
      <c r="H6" s="12" t="s">
        <v>59</v>
      </c>
      <c r="I6" s="13" t="str">
        <f aca="false">TRIM(IF(AND(E6&lt;&gt;"",LEN(E6)&lt;&gt;4),"宜不是4字 ","")&amp;IF(AND(G6&lt;&gt;"",LEN(G6)&lt;&gt;4),"忌不是4字 ","")&amp;IF(LEN(F6)&gt;26,"宜英文偏长 ","")&amp;IF(LEN(H6)&gt;26,"忌英文偏长",""))</f>
        <v/>
      </c>
    </row>
    <row r="7" customFormat="false" ht="15" hidden="false" customHeight="false" outlineLevel="0" collapsed="false">
      <c r="A7" s="8" t="s">
        <v>60</v>
      </c>
      <c r="B7" s="9" t="s">
        <v>61</v>
      </c>
      <c r="C7" s="10" t="n">
        <v>396</v>
      </c>
      <c r="D7" s="10" t="n">
        <v>574</v>
      </c>
      <c r="E7" s="11" t="s">
        <v>62</v>
      </c>
      <c r="F7" s="12" t="s">
        <v>63</v>
      </c>
      <c r="G7" s="11" t="s">
        <v>64</v>
      </c>
      <c r="H7" s="12" t="s">
        <v>65</v>
      </c>
      <c r="I7" s="13" t="str">
        <f aca="false">TRIM(IF(AND(E7&lt;&gt;"",LEN(E7)&lt;&gt;4),"宜不是4字 ","")&amp;IF(AND(G7&lt;&gt;"",LEN(G7)&lt;&gt;4),"忌不是4字 ","")&amp;IF(LEN(F7)&gt;26,"宜英文偏长 ","")&amp;IF(LEN(H7)&gt;26,"忌英文偏长",""))</f>
        <v/>
      </c>
    </row>
    <row r="8" customFormat="false" ht="15" hidden="false" customHeight="false" outlineLevel="0" collapsed="false">
      <c r="A8" s="8" t="s">
        <v>66</v>
      </c>
      <c r="B8" s="9" t="s">
        <v>67</v>
      </c>
      <c r="C8" s="10" t="n">
        <v>523</v>
      </c>
      <c r="D8" s="10" t="n">
        <v>401</v>
      </c>
      <c r="E8" s="11" t="s">
        <v>68</v>
      </c>
      <c r="F8" s="12" t="s">
        <v>69</v>
      </c>
      <c r="G8" s="11" t="s">
        <v>70</v>
      </c>
      <c r="H8" s="12" t="s">
        <v>71</v>
      </c>
      <c r="I8" s="13" t="str">
        <f aca="false">TRIM(IF(AND(E8&lt;&gt;"",LEN(E8)&lt;&gt;4),"宜不是4字 ","")&amp;IF(AND(G8&lt;&gt;"",LEN(G8)&lt;&gt;4),"忌不是4字 ","")&amp;IF(LEN(F8)&gt;26,"宜英文偏长 ","")&amp;IF(LEN(H8)&gt;26,"忌英文偏长",""))</f>
        <v/>
      </c>
    </row>
    <row r="9" customFormat="false" ht="15" hidden="false" customHeight="false" outlineLevel="0" collapsed="false">
      <c r="A9" s="8" t="s">
        <v>72</v>
      </c>
      <c r="B9" s="9" t="s">
        <v>73</v>
      </c>
      <c r="C9" s="10" t="n">
        <v>608</v>
      </c>
      <c r="D9" s="10" t="n">
        <v>215</v>
      </c>
      <c r="E9" s="11" t="s">
        <v>74</v>
      </c>
      <c r="F9" s="12" t="s">
        <v>75</v>
      </c>
      <c r="G9" s="11" t="s">
        <v>76</v>
      </c>
      <c r="H9" s="12" t="s">
        <v>77</v>
      </c>
      <c r="I9" s="13" t="str">
        <f aca="false">TRIM(IF(AND(E9&lt;&gt;"",LEN(E9)&lt;&gt;4),"宜不是4字 ","")&amp;IF(AND(G9&lt;&gt;"",LEN(G9)&lt;&gt;4),"忌不是4字 ","")&amp;IF(LEN(F9)&gt;26,"宜英文偏长 ","")&amp;IF(LEN(H9)&gt;26,"忌英文偏长",""))</f>
        <v/>
      </c>
    </row>
    <row r="10" customFormat="false" ht="15" hidden="false" customHeight="false" outlineLevel="0" collapsed="false">
      <c r="A10" s="8" t="s">
        <v>78</v>
      </c>
      <c r="B10" s="9" t="s">
        <v>79</v>
      </c>
      <c r="C10" s="10" t="n">
        <v>596</v>
      </c>
      <c r="D10" s="10" t="n">
        <v>195</v>
      </c>
      <c r="E10" s="11" t="s">
        <v>80</v>
      </c>
      <c r="F10" s="12" t="s">
        <v>81</v>
      </c>
      <c r="G10" s="11" t="s">
        <v>82</v>
      </c>
      <c r="H10" s="12" t="s">
        <v>83</v>
      </c>
      <c r="I10" s="13" t="str">
        <f aca="false">TRIM(IF(AND(E10&lt;&gt;"",LEN(E10)&lt;&gt;4),"宜不是4字 ","")&amp;IF(AND(G10&lt;&gt;"",LEN(G10)&lt;&gt;4),"忌不是4字 ","")&amp;IF(LEN(F10)&gt;26,"宜英文偏长 ","")&amp;IF(LEN(H10)&gt;26,"忌英文偏长",""))</f>
        <v/>
      </c>
    </row>
    <row r="11" customFormat="false" ht="15" hidden="false" customHeight="false" outlineLevel="0" collapsed="false">
      <c r="A11" s="8" t="s">
        <v>84</v>
      </c>
      <c r="B11" s="9" t="s">
        <v>85</v>
      </c>
      <c r="C11" s="10" t="n">
        <v>524</v>
      </c>
      <c r="D11" s="10" t="n">
        <v>235</v>
      </c>
      <c r="E11" s="11" t="s">
        <v>86</v>
      </c>
      <c r="F11" s="12" t="s">
        <v>87</v>
      </c>
      <c r="G11" s="11" t="s">
        <v>88</v>
      </c>
      <c r="H11" s="12" t="s">
        <v>89</v>
      </c>
      <c r="I11" s="13" t="str">
        <f aca="false">TRIM(IF(AND(E11&lt;&gt;"",LEN(E11)&lt;&gt;4),"宜不是4字 ","")&amp;IF(AND(G11&lt;&gt;"",LEN(G11)&lt;&gt;4),"忌不是4字 ","")&amp;IF(LEN(F11)&gt;26,"宜英文偏长 ","")&amp;IF(LEN(H11)&gt;26,"忌英文偏长",""))</f>
        <v/>
      </c>
    </row>
    <row r="12" customFormat="false" ht="15" hidden="false" customHeight="false" outlineLevel="0" collapsed="false">
      <c r="A12" s="8" t="s">
        <v>90</v>
      </c>
      <c r="B12" s="9" t="s">
        <v>91</v>
      </c>
      <c r="C12" s="10" t="n">
        <v>473</v>
      </c>
      <c r="D12" s="10" t="n">
        <v>236</v>
      </c>
      <c r="E12" s="11" t="s">
        <v>92</v>
      </c>
      <c r="F12" s="12" t="s">
        <v>93</v>
      </c>
      <c r="G12" s="11" t="s">
        <v>94</v>
      </c>
      <c r="H12" s="12" t="s">
        <v>95</v>
      </c>
      <c r="I12" s="13" t="str">
        <f aca="false">TRIM(IF(AND(E12&lt;&gt;"",LEN(E12)&lt;&gt;4),"宜不是4字 ","")&amp;IF(AND(G12&lt;&gt;"",LEN(G12)&lt;&gt;4),"忌不是4字 ","")&amp;IF(LEN(F12)&gt;26,"宜英文偏长 ","")&amp;IF(LEN(H12)&gt;26,"忌英文偏长",""))</f>
        <v/>
      </c>
    </row>
    <row r="13" customFormat="false" ht="15" hidden="false" customHeight="false" outlineLevel="0" collapsed="false">
      <c r="A13" s="8" t="s">
        <v>96</v>
      </c>
      <c r="B13" s="9" t="s">
        <v>97</v>
      </c>
      <c r="C13" s="10" t="n">
        <v>504</v>
      </c>
      <c r="D13" s="10" t="n">
        <v>205</v>
      </c>
      <c r="E13" s="11" t="s">
        <v>98</v>
      </c>
      <c r="F13" s="12" t="s">
        <v>99</v>
      </c>
      <c r="G13" s="11" t="s">
        <v>100</v>
      </c>
      <c r="H13" s="12" t="s">
        <v>101</v>
      </c>
      <c r="I13" s="13" t="str">
        <f aca="false">TRIM(IF(AND(E13&lt;&gt;"",LEN(E13)&lt;&gt;4),"宜不是4字 ","")&amp;IF(AND(G13&lt;&gt;"",LEN(G13)&lt;&gt;4),"忌不是4字 ","")&amp;IF(LEN(F13)&gt;26,"宜英文偏长 ","")&amp;IF(LEN(H13)&gt;26,"忌英文偏长",""))</f>
        <v/>
      </c>
    </row>
    <row r="14" customFormat="false" ht="15" hidden="false" customHeight="false" outlineLevel="0" collapsed="false">
      <c r="A14" s="8" t="s">
        <v>102</v>
      </c>
      <c r="B14" s="9" t="s">
        <v>103</v>
      </c>
      <c r="C14" s="10" t="n">
        <v>574</v>
      </c>
      <c r="D14" s="10" t="n">
        <v>83</v>
      </c>
      <c r="E14" s="11" t="s">
        <v>104</v>
      </c>
      <c r="F14" s="12" t="s">
        <v>105</v>
      </c>
      <c r="G14" s="11" t="s">
        <v>106</v>
      </c>
      <c r="H14" s="12" t="s">
        <v>107</v>
      </c>
      <c r="I14" s="13" t="str">
        <f aca="false">TRIM(IF(AND(E14&lt;&gt;"",LEN(E14)&lt;&gt;4),"宜不是4字 ","")&amp;IF(AND(G14&lt;&gt;"",LEN(G14)&lt;&gt;4),"忌不是4字 ","")&amp;IF(LEN(F14)&gt;26,"宜英文偏长 ","")&amp;IF(LEN(H14)&gt;26,"忌英文偏长",""))</f>
        <v/>
      </c>
    </row>
    <row r="15" customFormat="false" ht="15" hidden="false" customHeight="false" outlineLevel="0" collapsed="false">
      <c r="A15" s="8" t="s">
        <v>108</v>
      </c>
      <c r="B15" s="9" t="s">
        <v>109</v>
      </c>
      <c r="C15" s="10" t="n">
        <v>471</v>
      </c>
      <c r="D15" s="10" t="n">
        <v>74</v>
      </c>
      <c r="E15" s="11" t="s">
        <v>110</v>
      </c>
      <c r="F15" s="12" t="s">
        <v>111</v>
      </c>
      <c r="G15" s="11" t="s">
        <v>112</v>
      </c>
      <c r="H15" s="12" t="s">
        <v>113</v>
      </c>
      <c r="I15" s="13" t="str">
        <f aca="false">TRIM(IF(AND(E15&lt;&gt;"",LEN(E15)&lt;&gt;4),"宜不是4字 ","")&amp;IF(AND(G15&lt;&gt;"",LEN(G15)&lt;&gt;4),"忌不是4字 ","")&amp;IF(LEN(F15)&gt;26,"宜英文偏长 ","")&amp;IF(LEN(H15)&gt;26,"忌英文偏长",""))</f>
        <v/>
      </c>
    </row>
    <row r="16" customFormat="false" ht="15" hidden="false" customHeight="false" outlineLevel="0" collapsed="false">
      <c r="A16" s="8" t="s">
        <v>114</v>
      </c>
      <c r="B16" s="9" t="s">
        <v>115</v>
      </c>
      <c r="C16" s="10" t="n">
        <v>150</v>
      </c>
      <c r="D16" s="10" t="n">
        <v>392</v>
      </c>
      <c r="E16" s="11" t="s">
        <v>116</v>
      </c>
      <c r="F16" s="12" t="s">
        <v>117</v>
      </c>
      <c r="G16" s="11" t="s">
        <v>118</v>
      </c>
      <c r="H16" s="12" t="s">
        <v>119</v>
      </c>
      <c r="I16" s="13" t="str">
        <f aca="false">TRIM(IF(AND(E16&lt;&gt;"",LEN(E16)&lt;&gt;4),"宜不是4字 ","")&amp;IF(AND(G16&lt;&gt;"",LEN(G16)&lt;&gt;4),"忌不是4字 ","")&amp;IF(LEN(F16)&gt;26,"宜英文偏长 ","")&amp;IF(LEN(H16)&gt;26,"忌英文偏长",""))</f>
        <v/>
      </c>
    </row>
    <row r="17" customFormat="false" ht="15" hidden="false" customHeight="false" outlineLevel="0" collapsed="false">
      <c r="A17" s="8" t="s">
        <v>120</v>
      </c>
      <c r="B17" s="9" t="s">
        <v>121</v>
      </c>
      <c r="C17" s="10" t="n">
        <v>461</v>
      </c>
      <c r="D17" s="10" t="n">
        <v>59</v>
      </c>
      <c r="E17" s="11" t="s">
        <v>122</v>
      </c>
      <c r="F17" s="12" t="s">
        <v>123</v>
      </c>
      <c r="G17" s="11" t="s">
        <v>124</v>
      </c>
      <c r="H17" s="12" t="s">
        <v>125</v>
      </c>
      <c r="I17" s="13" t="str">
        <f aca="false">TRIM(IF(AND(E17&lt;&gt;"",LEN(E17)&lt;&gt;4),"宜不是4字 ","")&amp;IF(AND(G17&lt;&gt;"",LEN(G17)&lt;&gt;4),"忌不是4字 ","")&amp;IF(LEN(F17)&gt;26,"宜英文偏长 ","")&amp;IF(LEN(H17)&gt;26,"忌英文偏长",""))</f>
        <v/>
      </c>
    </row>
    <row r="18" customFormat="false" ht="15" hidden="false" customHeight="false" outlineLevel="0" collapsed="false">
      <c r="A18" s="8" t="s">
        <v>126</v>
      </c>
      <c r="B18" s="9" t="s">
        <v>127</v>
      </c>
      <c r="C18" s="10" t="n">
        <v>450</v>
      </c>
      <c r="D18" s="10" t="n">
        <v>56</v>
      </c>
      <c r="E18" s="11" t="s">
        <v>128</v>
      </c>
      <c r="F18" s="12" t="s">
        <v>129</v>
      </c>
      <c r="G18" s="11" t="s">
        <v>130</v>
      </c>
      <c r="H18" s="12" t="s">
        <v>131</v>
      </c>
      <c r="I18" s="13" t="str">
        <f aca="false">TRIM(IF(AND(E18&lt;&gt;"",LEN(E18)&lt;&gt;4),"宜不是4字 ","")&amp;IF(AND(G18&lt;&gt;"",LEN(G18)&lt;&gt;4),"忌不是4字 ","")&amp;IF(LEN(F18)&gt;26,"宜英文偏长 ","")&amp;IF(LEN(H18)&gt;26,"忌英文偏长",""))</f>
        <v/>
      </c>
    </row>
    <row r="19" customFormat="false" ht="15" hidden="false" customHeight="false" outlineLevel="0" collapsed="false">
      <c r="A19" s="8" t="s">
        <v>132</v>
      </c>
      <c r="B19" s="9" t="s">
        <v>133</v>
      </c>
      <c r="C19" s="10" t="n">
        <v>320</v>
      </c>
      <c r="D19" s="10" t="n">
        <v>156</v>
      </c>
      <c r="E19" s="11" t="s">
        <v>134</v>
      </c>
      <c r="F19" s="12" t="s">
        <v>135</v>
      </c>
      <c r="G19" s="11" t="s">
        <v>136</v>
      </c>
      <c r="H19" s="12" t="s">
        <v>137</v>
      </c>
      <c r="I19" s="13" t="str">
        <f aca="false">TRIM(IF(AND(E19&lt;&gt;"",LEN(E19)&lt;&gt;4),"宜不是4字 ","")&amp;IF(AND(G19&lt;&gt;"",LEN(G19)&lt;&gt;4),"忌不是4字 ","")&amp;IF(LEN(F19)&gt;26,"宜英文偏长 ","")&amp;IF(LEN(H19)&gt;26,"忌英文偏长",""))</f>
        <v/>
      </c>
    </row>
    <row r="20" customFormat="false" ht="15" hidden="false" customHeight="false" outlineLevel="0" collapsed="false">
      <c r="A20" s="8" t="s">
        <v>138</v>
      </c>
      <c r="B20" s="9" t="s">
        <v>139</v>
      </c>
      <c r="C20" s="10" t="n">
        <v>329</v>
      </c>
      <c r="D20" s="10" t="n">
        <v>137</v>
      </c>
      <c r="E20" s="11" t="s">
        <v>140</v>
      </c>
      <c r="F20" s="12" t="s">
        <v>141</v>
      </c>
      <c r="G20" s="11" t="s">
        <v>142</v>
      </c>
      <c r="H20" s="12" t="s">
        <v>143</v>
      </c>
      <c r="I20" s="13" t="str">
        <f aca="false">TRIM(IF(AND(E20&lt;&gt;"",LEN(E20)&lt;&gt;4),"宜不是4字 ","")&amp;IF(AND(G20&lt;&gt;"",LEN(G20)&lt;&gt;4),"忌不是4字 ","")&amp;IF(LEN(F20)&gt;26,"宜英文偏长 ","")&amp;IF(LEN(H20)&gt;26,"忌英文偏长",""))</f>
        <v/>
      </c>
    </row>
    <row r="21" customFormat="false" ht="15" hidden="false" customHeight="false" outlineLevel="0" collapsed="false">
      <c r="A21" s="8" t="s">
        <v>144</v>
      </c>
      <c r="B21" s="9" t="s">
        <v>145</v>
      </c>
      <c r="C21" s="10" t="n">
        <v>449</v>
      </c>
      <c r="D21" s="10" t="n">
        <v>0</v>
      </c>
      <c r="E21" s="11" t="s">
        <v>146</v>
      </c>
      <c r="F21" s="12" t="s">
        <v>147</v>
      </c>
      <c r="G21" s="14"/>
      <c r="H21" s="14"/>
      <c r="I21" s="13" t="str">
        <f aca="false">TRIM(IF(AND(E21&lt;&gt;"",LEN(E21)&lt;&gt;4),"宜不是4字 ","")&amp;IF(AND(G21&lt;&gt;"",LEN(G21)&lt;&gt;4),"忌不是4字 ","")&amp;IF(LEN(F21)&gt;26,"宜英文偏长 ","")&amp;IF(LEN(H21)&gt;26,"忌英文偏长",""))</f>
        <v/>
      </c>
    </row>
    <row r="22" customFormat="false" ht="15" hidden="false" customHeight="false" outlineLevel="0" collapsed="false">
      <c r="A22" s="8" t="s">
        <v>148</v>
      </c>
      <c r="B22" s="9" t="s">
        <v>149</v>
      </c>
      <c r="C22" s="10" t="n">
        <v>410</v>
      </c>
      <c r="D22" s="10" t="n">
        <v>27</v>
      </c>
      <c r="E22" s="11" t="s">
        <v>150</v>
      </c>
      <c r="F22" s="12" t="s">
        <v>151</v>
      </c>
      <c r="G22" s="11" t="s">
        <v>152</v>
      </c>
      <c r="H22" s="12" t="s">
        <v>153</v>
      </c>
      <c r="I22" s="13" t="str">
        <f aca="false">TRIM(IF(AND(E22&lt;&gt;"",LEN(E22)&lt;&gt;4),"宜不是4字 ","")&amp;IF(AND(G22&lt;&gt;"",LEN(G22)&lt;&gt;4),"忌不是4字 ","")&amp;IF(LEN(F22)&gt;26,"宜英文偏长 ","")&amp;IF(LEN(H22)&gt;26,"忌英文偏长",""))</f>
        <v/>
      </c>
    </row>
    <row r="23" customFormat="false" ht="15" hidden="false" customHeight="false" outlineLevel="0" collapsed="false">
      <c r="A23" s="8" t="s">
        <v>154</v>
      </c>
      <c r="B23" s="9" t="s">
        <v>155</v>
      </c>
      <c r="C23" s="10" t="n">
        <v>301</v>
      </c>
      <c r="D23" s="10" t="n">
        <v>136</v>
      </c>
      <c r="E23" s="11" t="s">
        <v>156</v>
      </c>
      <c r="F23" s="12" t="s">
        <v>157</v>
      </c>
      <c r="G23" s="11" t="s">
        <v>158</v>
      </c>
      <c r="H23" s="12" t="s">
        <v>159</v>
      </c>
      <c r="I23" s="13" t="str">
        <f aca="false">TRIM(IF(AND(E23&lt;&gt;"",LEN(E23)&lt;&gt;4),"宜不是4字 ","")&amp;IF(AND(G23&lt;&gt;"",LEN(G23)&lt;&gt;4),"忌不是4字 ","")&amp;IF(LEN(F23)&gt;26,"宜英文偏长 ","")&amp;IF(LEN(H23)&gt;26,"忌英文偏长",""))</f>
        <v/>
      </c>
    </row>
    <row r="24" customFormat="false" ht="15" hidden="false" customHeight="false" outlineLevel="0" collapsed="false">
      <c r="A24" s="8" t="s">
        <v>160</v>
      </c>
      <c r="B24" s="9" t="s">
        <v>161</v>
      </c>
      <c r="C24" s="10" t="n">
        <v>376</v>
      </c>
      <c r="D24" s="10" t="n">
        <v>56</v>
      </c>
      <c r="E24" s="11" t="s">
        <v>162</v>
      </c>
      <c r="F24" s="12" t="s">
        <v>163</v>
      </c>
      <c r="G24" s="11" t="s">
        <v>164</v>
      </c>
      <c r="H24" s="12" t="s">
        <v>165</v>
      </c>
      <c r="I24" s="13" t="str">
        <f aca="false">TRIM(IF(AND(E24&lt;&gt;"",LEN(E24)&lt;&gt;4),"宜不是4字 ","")&amp;IF(AND(G24&lt;&gt;"",LEN(G24)&lt;&gt;4),"忌不是4字 ","")&amp;IF(LEN(F24)&gt;26,"宜英文偏长 ","")&amp;IF(LEN(H24)&gt;26,"忌英文偏长",""))</f>
        <v/>
      </c>
    </row>
    <row r="25" customFormat="false" ht="15" hidden="false" customHeight="false" outlineLevel="0" collapsed="false">
      <c r="A25" s="8" t="s">
        <v>166</v>
      </c>
      <c r="B25" s="9" t="s">
        <v>167</v>
      </c>
      <c r="C25" s="10" t="n">
        <v>407</v>
      </c>
      <c r="D25" s="10" t="n">
        <v>23</v>
      </c>
      <c r="E25" s="11" t="s">
        <v>168</v>
      </c>
      <c r="F25" s="12" t="s">
        <v>169</v>
      </c>
      <c r="G25" s="11" t="s">
        <v>170</v>
      </c>
      <c r="H25" s="12" t="s">
        <v>171</v>
      </c>
      <c r="I25" s="13" t="str">
        <f aca="false">TRIM(IF(AND(E25&lt;&gt;"",LEN(E25)&lt;&gt;4),"宜不是4字 ","")&amp;IF(AND(G25&lt;&gt;"",LEN(G25)&lt;&gt;4),"忌不是4字 ","")&amp;IF(LEN(F25)&gt;26,"宜英文偏长 ","")&amp;IF(LEN(H25)&gt;26,"忌英文偏长",""))</f>
        <v/>
      </c>
    </row>
    <row r="26" customFormat="false" ht="15" hidden="false" customHeight="false" outlineLevel="0" collapsed="false">
      <c r="A26" s="8" t="s">
        <v>172</v>
      </c>
      <c r="B26" s="9" t="s">
        <v>173</v>
      </c>
      <c r="C26" s="10" t="n">
        <v>425</v>
      </c>
      <c r="D26" s="10" t="n">
        <v>5</v>
      </c>
      <c r="E26" s="14"/>
      <c r="F26" s="14"/>
      <c r="G26" s="14"/>
      <c r="H26" s="14"/>
      <c r="I26" s="13" t="str">
        <f aca="false">TRIM(IF(AND(E26&lt;&gt;"",LEN(E26)&lt;&gt;4),"宜不是4字 ","")&amp;IF(AND(G26&lt;&gt;"",LEN(G26)&lt;&gt;4),"忌不是4字 ","")&amp;IF(LEN(F26)&gt;26,"宜英文偏长 ","")&amp;IF(LEN(H26)&gt;26,"忌英文偏长",""))</f>
        <v/>
      </c>
    </row>
    <row r="27" customFormat="false" ht="15" hidden="false" customHeight="false" outlineLevel="0" collapsed="false">
      <c r="A27" s="8" t="s">
        <v>174</v>
      </c>
      <c r="B27" s="9" t="s">
        <v>175</v>
      </c>
      <c r="C27" s="10" t="n">
        <v>192</v>
      </c>
      <c r="D27" s="10" t="n">
        <v>187</v>
      </c>
      <c r="E27" s="11" t="s">
        <v>176</v>
      </c>
      <c r="F27" s="12" t="s">
        <v>177</v>
      </c>
      <c r="G27" s="11" t="s">
        <v>178</v>
      </c>
      <c r="H27" s="12" t="s">
        <v>179</v>
      </c>
      <c r="I27" s="13" t="str">
        <f aca="false">TRIM(IF(AND(E27&lt;&gt;"",LEN(E27)&lt;&gt;4),"宜不是4字 ","")&amp;IF(AND(G27&lt;&gt;"",LEN(G27)&lt;&gt;4),"忌不是4字 ","")&amp;IF(LEN(F27)&gt;26,"宜英文偏长 ","")&amp;IF(LEN(H27)&gt;26,"忌英文偏长",""))</f>
        <v/>
      </c>
    </row>
    <row r="28" customFormat="false" ht="15" hidden="false" customHeight="false" outlineLevel="0" collapsed="false">
      <c r="A28" s="8" t="s">
        <v>180</v>
      </c>
      <c r="B28" s="9" t="s">
        <v>181</v>
      </c>
      <c r="C28" s="10" t="n">
        <v>311</v>
      </c>
      <c r="D28" s="10" t="n">
        <v>64</v>
      </c>
      <c r="E28" s="11" t="s">
        <v>182</v>
      </c>
      <c r="F28" s="12" t="s">
        <v>183</v>
      </c>
      <c r="G28" s="11" t="s">
        <v>184</v>
      </c>
      <c r="H28" s="12" t="s">
        <v>185</v>
      </c>
      <c r="I28" s="13" t="str">
        <f aca="false">TRIM(IF(AND(E28&lt;&gt;"",LEN(E28)&lt;&gt;4),"宜不是4字 ","")&amp;IF(AND(G28&lt;&gt;"",LEN(G28)&lt;&gt;4),"忌不是4字 ","")&amp;IF(LEN(F28)&gt;26,"宜英文偏长 ","")&amp;IF(LEN(H28)&gt;26,"忌英文偏长",""))</f>
        <v/>
      </c>
    </row>
    <row r="29" customFormat="false" ht="15" hidden="false" customHeight="false" outlineLevel="0" collapsed="false">
      <c r="A29" s="8" t="s">
        <v>186</v>
      </c>
      <c r="B29" s="9" t="s">
        <v>187</v>
      </c>
      <c r="C29" s="10" t="n">
        <v>241</v>
      </c>
      <c r="D29" s="10" t="n">
        <v>127</v>
      </c>
      <c r="E29" s="11" t="s">
        <v>188</v>
      </c>
      <c r="F29" s="12" t="s">
        <v>189</v>
      </c>
      <c r="G29" s="11" t="s">
        <v>190</v>
      </c>
      <c r="H29" s="12" t="s">
        <v>191</v>
      </c>
      <c r="I29" s="13" t="str">
        <f aca="false">TRIM(IF(AND(E29&lt;&gt;"",LEN(E29)&lt;&gt;4),"宜不是4字 ","")&amp;IF(AND(G29&lt;&gt;"",LEN(G29)&lt;&gt;4),"忌不是4字 ","")&amp;IF(LEN(F29)&gt;26,"宜英文偏长 ","")&amp;IF(LEN(H29)&gt;26,"忌英文偏长",""))</f>
        <v/>
      </c>
    </row>
    <row r="30" customFormat="false" ht="15" hidden="false" customHeight="false" outlineLevel="0" collapsed="false">
      <c r="A30" s="8" t="s">
        <v>192</v>
      </c>
      <c r="B30" s="9" t="s">
        <v>193</v>
      </c>
      <c r="C30" s="10" t="n">
        <v>364</v>
      </c>
      <c r="D30" s="10" t="n">
        <v>0</v>
      </c>
      <c r="E30" s="11" t="s">
        <v>194</v>
      </c>
      <c r="F30" s="12" t="s">
        <v>195</v>
      </c>
      <c r="G30" s="14"/>
      <c r="H30" s="14"/>
      <c r="I30" s="13" t="str">
        <f aca="false">TRIM(IF(AND(E30&lt;&gt;"",LEN(E30)&lt;&gt;4),"宜不是4字 ","")&amp;IF(AND(G30&lt;&gt;"",LEN(G30)&lt;&gt;4),"忌不是4字 ","")&amp;IF(LEN(F30)&gt;26,"宜英文偏长 ","")&amp;IF(LEN(H30)&gt;26,"忌英文偏长",""))</f>
        <v/>
      </c>
    </row>
    <row r="31" customFormat="false" ht="15" hidden="false" customHeight="false" outlineLevel="0" collapsed="false">
      <c r="A31" s="8" t="s">
        <v>196</v>
      </c>
      <c r="B31" s="9" t="s">
        <v>197</v>
      </c>
      <c r="C31" s="10" t="n">
        <v>349</v>
      </c>
      <c r="D31" s="10" t="n">
        <v>3</v>
      </c>
      <c r="E31" s="11" t="s">
        <v>198</v>
      </c>
      <c r="F31" s="12" t="s">
        <v>199</v>
      </c>
      <c r="G31" s="11" t="s">
        <v>200</v>
      </c>
      <c r="H31" s="12" t="s">
        <v>201</v>
      </c>
      <c r="I31" s="13" t="str">
        <f aca="false">TRIM(IF(AND(E31&lt;&gt;"",LEN(E31)&lt;&gt;4),"宜不是4字 ","")&amp;IF(AND(G31&lt;&gt;"",LEN(G31)&lt;&gt;4),"忌不是4字 ","")&amp;IF(LEN(F31)&gt;26,"宜英文偏长 ","")&amp;IF(LEN(H31)&gt;26,"忌英文偏长",""))</f>
        <v/>
      </c>
    </row>
    <row r="32" customFormat="false" ht="15" hidden="false" customHeight="false" outlineLevel="0" collapsed="false">
      <c r="A32" s="8" t="s">
        <v>202</v>
      </c>
      <c r="B32" s="9" t="s">
        <v>203</v>
      </c>
      <c r="C32" s="10" t="n">
        <v>341</v>
      </c>
      <c r="D32" s="10" t="n">
        <v>10</v>
      </c>
      <c r="E32" s="11" t="s">
        <v>204</v>
      </c>
      <c r="F32" s="12" t="s">
        <v>205</v>
      </c>
      <c r="G32" s="11" t="s">
        <v>206</v>
      </c>
      <c r="H32" s="12" t="s">
        <v>207</v>
      </c>
      <c r="I32" s="13" t="str">
        <f aca="false">TRIM(IF(AND(E32&lt;&gt;"",LEN(E32)&lt;&gt;4),"宜不是4字 ","")&amp;IF(AND(G32&lt;&gt;"",LEN(G32)&lt;&gt;4),"忌不是4字 ","")&amp;IF(LEN(F32)&gt;26,"宜英文偏长 ","")&amp;IF(LEN(H32)&gt;26,"忌英文偏长",""))</f>
        <v/>
      </c>
    </row>
    <row r="33" customFormat="false" ht="15" hidden="false" customHeight="false" outlineLevel="0" collapsed="false">
      <c r="A33" s="8" t="s">
        <v>208</v>
      </c>
      <c r="B33" s="9" t="s">
        <v>209</v>
      </c>
      <c r="C33" s="10" t="n">
        <v>333</v>
      </c>
      <c r="D33" s="10" t="n">
        <v>0</v>
      </c>
      <c r="E33" s="11" t="s">
        <v>210</v>
      </c>
      <c r="F33" s="12" t="s">
        <v>211</v>
      </c>
      <c r="G33" s="14"/>
      <c r="H33" s="14"/>
      <c r="I33" s="13" t="str">
        <f aca="false">TRIM(IF(AND(E33&lt;&gt;"",LEN(E33)&lt;&gt;4),"宜不是4字 ","")&amp;IF(AND(G33&lt;&gt;"",LEN(G33)&lt;&gt;4),"忌不是4字 ","")&amp;IF(LEN(F33)&gt;26,"宜英文偏长 ","")&amp;IF(LEN(H33)&gt;26,"忌英文偏长",""))</f>
        <v/>
      </c>
    </row>
    <row r="34" customFormat="false" ht="15" hidden="false" customHeight="false" outlineLevel="0" collapsed="false">
      <c r="A34" s="8" t="s">
        <v>212</v>
      </c>
      <c r="B34" s="9" t="s">
        <v>213</v>
      </c>
      <c r="C34" s="10" t="n">
        <v>320</v>
      </c>
      <c r="D34" s="10" t="n">
        <v>12</v>
      </c>
      <c r="E34" s="11" t="s">
        <v>214</v>
      </c>
      <c r="F34" s="12" t="s">
        <v>215</v>
      </c>
      <c r="G34" s="11" t="s">
        <v>216</v>
      </c>
      <c r="H34" s="12" t="s">
        <v>217</v>
      </c>
      <c r="I34" s="13" t="str">
        <f aca="false">TRIM(IF(AND(E34&lt;&gt;"",LEN(E34)&lt;&gt;4),"宜不是4字 ","")&amp;IF(AND(G34&lt;&gt;"",LEN(G34)&lt;&gt;4),"忌不是4字 ","")&amp;IF(LEN(F34)&gt;26,"宜英文偏长 ","")&amp;IF(LEN(H34)&gt;26,"忌英文偏长",""))</f>
        <v/>
      </c>
    </row>
    <row r="35" customFormat="false" ht="15" hidden="false" customHeight="false" outlineLevel="0" collapsed="false">
      <c r="A35" s="8" t="s">
        <v>218</v>
      </c>
      <c r="B35" s="9" t="s">
        <v>219</v>
      </c>
      <c r="C35" s="10" t="n">
        <v>324</v>
      </c>
      <c r="D35" s="10" t="n">
        <v>7</v>
      </c>
      <c r="E35" s="11" t="s">
        <v>220</v>
      </c>
      <c r="F35" s="12" t="s">
        <v>221</v>
      </c>
      <c r="G35" s="11" t="s">
        <v>222</v>
      </c>
      <c r="H35" s="12" t="s">
        <v>223</v>
      </c>
      <c r="I35" s="13" t="str">
        <f aca="false">TRIM(IF(AND(E35&lt;&gt;"",LEN(E35)&lt;&gt;4),"宜不是4字 ","")&amp;IF(AND(G35&lt;&gt;"",LEN(G35)&lt;&gt;4),"忌不是4字 ","")&amp;IF(LEN(F35)&gt;26,"宜英文偏长 ","")&amp;IF(LEN(H35)&gt;26,"忌英文偏长",""))</f>
        <v/>
      </c>
    </row>
    <row r="36" customFormat="false" ht="15" hidden="false" customHeight="false" outlineLevel="0" collapsed="false">
      <c r="A36" s="8" t="s">
        <v>224</v>
      </c>
      <c r="B36" s="9" t="s">
        <v>225</v>
      </c>
      <c r="C36" s="10" t="n">
        <v>319</v>
      </c>
      <c r="D36" s="10" t="n">
        <v>11</v>
      </c>
      <c r="E36" s="11" t="s">
        <v>226</v>
      </c>
      <c r="F36" s="12" t="s">
        <v>227</v>
      </c>
      <c r="G36" s="11" t="s">
        <v>228</v>
      </c>
      <c r="H36" s="12" t="s">
        <v>229</v>
      </c>
      <c r="I36" s="13" t="str">
        <f aca="false">TRIM(IF(AND(E36&lt;&gt;"",LEN(E36)&lt;&gt;4),"宜不是4字 ","")&amp;IF(AND(G36&lt;&gt;"",LEN(G36)&lt;&gt;4),"忌不是4字 ","")&amp;IF(LEN(F36)&gt;26,"宜英文偏长 ","")&amp;IF(LEN(H36)&gt;26,"忌英文偏长",""))</f>
        <v/>
      </c>
    </row>
    <row r="37" customFormat="false" ht="15" hidden="false" customHeight="false" outlineLevel="0" collapsed="false">
      <c r="A37" s="8" t="s">
        <v>230</v>
      </c>
      <c r="B37" s="9" t="s">
        <v>231</v>
      </c>
      <c r="C37" s="10" t="n">
        <v>86</v>
      </c>
      <c r="D37" s="10" t="n">
        <v>244</v>
      </c>
      <c r="E37" s="11" t="s">
        <v>232</v>
      </c>
      <c r="F37" s="12" t="s">
        <v>233</v>
      </c>
      <c r="G37" s="11" t="s">
        <v>234</v>
      </c>
      <c r="H37" s="12" t="s">
        <v>235</v>
      </c>
      <c r="I37" s="13" t="str">
        <f aca="false">TRIM(IF(AND(E37&lt;&gt;"",LEN(E37)&lt;&gt;4),"宜不是4字 ","")&amp;IF(AND(G37&lt;&gt;"",LEN(G37)&lt;&gt;4),"忌不是4字 ","")&amp;IF(LEN(F37)&gt;26,"宜英文偏长 ","")&amp;IF(LEN(H37)&gt;26,"忌英文偏长",""))</f>
        <v/>
      </c>
    </row>
    <row r="38" customFormat="false" ht="15" hidden="false" customHeight="false" outlineLevel="0" collapsed="false">
      <c r="A38" s="8" t="s">
        <v>236</v>
      </c>
      <c r="B38" s="9" t="s">
        <v>237</v>
      </c>
      <c r="C38" s="10" t="n">
        <v>321</v>
      </c>
      <c r="D38" s="10" t="n">
        <v>0</v>
      </c>
      <c r="E38" s="11" t="s">
        <v>238</v>
      </c>
      <c r="F38" s="12" t="s">
        <v>239</v>
      </c>
      <c r="G38" s="14"/>
      <c r="H38" s="14"/>
      <c r="I38" s="13" t="str">
        <f aca="false">TRIM(IF(AND(E38&lt;&gt;"",LEN(E38)&lt;&gt;4),"宜不是4字 ","")&amp;IF(AND(G38&lt;&gt;"",LEN(G38)&lt;&gt;4),"忌不是4字 ","")&amp;IF(LEN(F38)&gt;26,"宜英文偏长 ","")&amp;IF(LEN(H38)&gt;26,"忌英文偏长",""))</f>
        <v/>
      </c>
    </row>
    <row r="39" customFormat="false" ht="15" hidden="false" customHeight="false" outlineLevel="0" collapsed="false">
      <c r="A39" s="8" t="s">
        <v>240</v>
      </c>
      <c r="B39" s="9" t="s">
        <v>241</v>
      </c>
      <c r="C39" s="10" t="n">
        <v>173</v>
      </c>
      <c r="D39" s="10" t="n">
        <v>147</v>
      </c>
      <c r="E39" s="11" t="s">
        <v>242</v>
      </c>
      <c r="F39" s="12" t="s">
        <v>243</v>
      </c>
      <c r="G39" s="11" t="s">
        <v>244</v>
      </c>
      <c r="H39" s="12" t="s">
        <v>245</v>
      </c>
      <c r="I39" s="13" t="str">
        <f aca="false">TRIM(IF(AND(E39&lt;&gt;"",LEN(E39)&lt;&gt;4),"宜不是4字 ","")&amp;IF(AND(G39&lt;&gt;"",LEN(G39)&lt;&gt;4),"忌不是4字 ","")&amp;IF(LEN(F39)&gt;26,"宜英文偏长 ","")&amp;IF(LEN(H39)&gt;26,"忌英文偏长",""))</f>
        <v/>
      </c>
    </row>
    <row r="40" customFormat="false" ht="15" hidden="false" customHeight="false" outlineLevel="0" collapsed="false">
      <c r="A40" s="8" t="s">
        <v>246</v>
      </c>
      <c r="B40" s="9" t="s">
        <v>247</v>
      </c>
      <c r="C40" s="10" t="n">
        <v>305</v>
      </c>
      <c r="D40" s="10" t="n">
        <v>7</v>
      </c>
      <c r="E40" s="11" t="s">
        <v>248</v>
      </c>
      <c r="F40" s="12" t="s">
        <v>249</v>
      </c>
      <c r="G40" s="11" t="s">
        <v>250</v>
      </c>
      <c r="H40" s="12" t="s">
        <v>251</v>
      </c>
      <c r="I40" s="13" t="str">
        <f aca="false">TRIM(IF(AND(E40&lt;&gt;"",LEN(E40)&lt;&gt;4),"宜不是4字 ","")&amp;IF(AND(G40&lt;&gt;"",LEN(G40)&lt;&gt;4),"忌不是4字 ","")&amp;IF(LEN(F40)&gt;26,"宜英文偏长 ","")&amp;IF(LEN(H40)&gt;26,"忌英文偏长",""))</f>
        <v/>
      </c>
    </row>
    <row r="41" customFormat="false" ht="15" hidden="false" customHeight="false" outlineLevel="0" collapsed="false">
      <c r="A41" s="8" t="s">
        <v>252</v>
      </c>
      <c r="B41" s="9" t="s">
        <v>253</v>
      </c>
      <c r="C41" s="10" t="n">
        <v>292</v>
      </c>
      <c r="D41" s="10" t="n">
        <v>18</v>
      </c>
      <c r="E41" s="11" t="s">
        <v>254</v>
      </c>
      <c r="F41" s="12" t="s">
        <v>255</v>
      </c>
      <c r="G41" s="11" t="s">
        <v>256</v>
      </c>
      <c r="H41" s="12" t="s">
        <v>257</v>
      </c>
      <c r="I41" s="13" t="str">
        <f aca="false">TRIM(IF(AND(E41&lt;&gt;"",LEN(E41)&lt;&gt;4),"宜不是4字 ","")&amp;IF(AND(G41&lt;&gt;"",LEN(G41)&lt;&gt;4),"忌不是4字 ","")&amp;IF(LEN(F41)&gt;26,"宜英文偏长 ","")&amp;IF(LEN(H41)&gt;26,"忌英文偏长",""))</f>
        <v/>
      </c>
    </row>
    <row r="42" customFormat="false" ht="15" hidden="false" customHeight="false" outlineLevel="0" collapsed="false">
      <c r="A42" s="8" t="s">
        <v>258</v>
      </c>
      <c r="B42" s="9" t="s">
        <v>259</v>
      </c>
      <c r="C42" s="10" t="n">
        <v>121</v>
      </c>
      <c r="D42" s="10" t="n">
        <v>159</v>
      </c>
      <c r="E42" s="11" t="s">
        <v>260</v>
      </c>
      <c r="F42" s="12" t="s">
        <v>261</v>
      </c>
      <c r="G42" s="11" t="s">
        <v>262</v>
      </c>
      <c r="H42" s="12" t="s">
        <v>263</v>
      </c>
      <c r="I42" s="13" t="str">
        <f aca="false">TRIM(IF(AND(E42&lt;&gt;"",LEN(E42)&lt;&gt;4),"宜不是4字 ","")&amp;IF(AND(G42&lt;&gt;"",LEN(G42)&lt;&gt;4),"忌不是4字 ","")&amp;IF(LEN(F42)&gt;26,"宜英文偏长 ","")&amp;IF(LEN(H42)&gt;26,"忌英文偏长",""))</f>
        <v/>
      </c>
    </row>
    <row r="43" customFormat="false" ht="15" hidden="false" customHeight="false" outlineLevel="0" collapsed="false">
      <c r="A43" s="8" t="s">
        <v>264</v>
      </c>
      <c r="B43" s="9" t="s">
        <v>265</v>
      </c>
      <c r="C43" s="10" t="n">
        <v>241</v>
      </c>
      <c r="D43" s="10" t="n">
        <v>13</v>
      </c>
      <c r="E43" s="11" t="s">
        <v>266</v>
      </c>
      <c r="F43" s="12" t="s">
        <v>267</v>
      </c>
      <c r="G43" s="11" t="s">
        <v>268</v>
      </c>
      <c r="H43" s="12" t="s">
        <v>269</v>
      </c>
      <c r="I43" s="13" t="str">
        <f aca="false">TRIM(IF(AND(E43&lt;&gt;"",LEN(E43)&lt;&gt;4),"宜不是4字 ","")&amp;IF(AND(G43&lt;&gt;"",LEN(G43)&lt;&gt;4),"忌不是4字 ","")&amp;IF(LEN(F43)&gt;26,"宜英文偏长 ","")&amp;IF(LEN(H43)&gt;26,"忌英文偏长",""))</f>
        <v/>
      </c>
    </row>
    <row r="44" customFormat="false" ht="15" hidden="false" customHeight="false" outlineLevel="0" collapsed="false">
      <c r="A44" s="8" t="s">
        <v>270</v>
      </c>
      <c r="B44" s="9" t="s">
        <v>271</v>
      </c>
      <c r="C44" s="10" t="n">
        <v>226</v>
      </c>
      <c r="D44" s="10" t="n">
        <v>26</v>
      </c>
      <c r="E44" s="11" t="s">
        <v>272</v>
      </c>
      <c r="F44" s="12" t="s">
        <v>273</v>
      </c>
      <c r="G44" s="11" t="s">
        <v>274</v>
      </c>
      <c r="H44" s="12" t="s">
        <v>275</v>
      </c>
      <c r="I44" s="13" t="str">
        <f aca="false">TRIM(IF(AND(E44&lt;&gt;"",LEN(E44)&lt;&gt;4),"宜不是4字 ","")&amp;IF(AND(G44&lt;&gt;"",LEN(G44)&lt;&gt;4),"忌不是4字 ","")&amp;IF(LEN(F44)&gt;26,"宜英文偏长 ","")&amp;IF(LEN(H44)&gt;26,"忌英文偏长",""))</f>
        <v/>
      </c>
    </row>
    <row r="45" customFormat="false" ht="15" hidden="false" customHeight="false" outlineLevel="0" collapsed="false">
      <c r="A45" s="8" t="s">
        <v>276</v>
      </c>
      <c r="B45" s="9" t="s">
        <v>277</v>
      </c>
      <c r="C45" s="10" t="n">
        <v>185</v>
      </c>
      <c r="D45" s="10" t="n">
        <v>55</v>
      </c>
      <c r="E45" s="11" t="s">
        <v>278</v>
      </c>
      <c r="F45" s="12" t="s">
        <v>279</v>
      </c>
      <c r="G45" s="11" t="s">
        <v>280</v>
      </c>
      <c r="H45" s="12" t="s">
        <v>281</v>
      </c>
      <c r="I45" s="13" t="str">
        <f aca="false">TRIM(IF(AND(E45&lt;&gt;"",LEN(E45)&lt;&gt;4),"宜不是4字 ","")&amp;IF(AND(G45&lt;&gt;"",LEN(G45)&lt;&gt;4),"忌不是4字 ","")&amp;IF(LEN(F45)&gt;26,"宜英文偏长 ","")&amp;IF(LEN(H45)&gt;26,"忌英文偏长",""))</f>
        <v/>
      </c>
    </row>
    <row r="46" customFormat="false" ht="15" hidden="false" customHeight="false" outlineLevel="0" collapsed="false">
      <c r="A46" s="8" t="s">
        <v>282</v>
      </c>
      <c r="B46" s="9" t="s">
        <v>283</v>
      </c>
      <c r="C46" s="10" t="n">
        <v>0</v>
      </c>
      <c r="D46" s="10" t="n">
        <v>225</v>
      </c>
      <c r="E46" s="14"/>
      <c r="F46" s="14"/>
      <c r="G46" s="11" t="s">
        <v>284</v>
      </c>
      <c r="H46" s="12" t="s">
        <v>285</v>
      </c>
      <c r="I46" s="13" t="str">
        <f aca="false">TRIM(IF(AND(E46&lt;&gt;"",LEN(E46)&lt;&gt;4),"宜不是4字 ","")&amp;IF(AND(G46&lt;&gt;"",LEN(G46)&lt;&gt;4),"忌不是4字 ","")&amp;IF(LEN(F46)&gt;26,"宜英文偏长 ","")&amp;IF(LEN(H46)&gt;26,"忌英文偏长",""))</f>
        <v/>
      </c>
    </row>
    <row r="47" customFormat="false" ht="15" hidden="false" customHeight="false" outlineLevel="0" collapsed="false">
      <c r="A47" s="8" t="s">
        <v>286</v>
      </c>
      <c r="B47" s="9" t="s">
        <v>287</v>
      </c>
      <c r="C47" s="10" t="n">
        <v>157</v>
      </c>
      <c r="D47" s="10" t="n">
        <v>61</v>
      </c>
      <c r="E47" s="11" t="s">
        <v>288</v>
      </c>
      <c r="F47" s="12" t="s">
        <v>289</v>
      </c>
      <c r="G47" s="11" t="s">
        <v>290</v>
      </c>
      <c r="H47" s="12" t="s">
        <v>291</v>
      </c>
      <c r="I47" s="13" t="str">
        <f aca="false">TRIM(IF(AND(E47&lt;&gt;"",LEN(E47)&lt;&gt;4),"宜不是4字 ","")&amp;IF(AND(G47&lt;&gt;"",LEN(G47)&lt;&gt;4),"忌不是4字 ","")&amp;IF(LEN(F47)&gt;26,"宜英文偏长 ","")&amp;IF(LEN(H47)&gt;26,"忌英文偏长",""))</f>
        <v/>
      </c>
    </row>
    <row r="48" customFormat="false" ht="15" hidden="false" customHeight="false" outlineLevel="0" collapsed="false">
      <c r="A48" s="8" t="s">
        <v>292</v>
      </c>
      <c r="B48" s="9" t="s">
        <v>293</v>
      </c>
      <c r="C48" s="10" t="n">
        <v>193</v>
      </c>
      <c r="D48" s="10" t="n">
        <v>14</v>
      </c>
      <c r="E48" s="11" t="s">
        <v>294</v>
      </c>
      <c r="F48" s="12" t="s">
        <v>295</v>
      </c>
      <c r="G48" s="11" t="s">
        <v>296</v>
      </c>
      <c r="H48" s="12" t="s">
        <v>297</v>
      </c>
      <c r="I48" s="13" t="str">
        <f aca="false">TRIM(IF(AND(E48&lt;&gt;"",LEN(E48)&lt;&gt;4),"宜不是4字 ","")&amp;IF(AND(G48&lt;&gt;"",LEN(G48)&lt;&gt;4),"忌不是4字 ","")&amp;IF(LEN(F48)&gt;26,"宜英文偏长 ","")&amp;IF(LEN(H48)&gt;26,"忌英文偏长",""))</f>
        <v/>
      </c>
    </row>
    <row r="49" customFormat="false" ht="15" hidden="false" customHeight="false" outlineLevel="0" collapsed="false">
      <c r="A49" s="8" t="s">
        <v>298</v>
      </c>
      <c r="B49" s="9" t="s">
        <v>299</v>
      </c>
      <c r="C49" s="10" t="n">
        <v>199</v>
      </c>
      <c r="D49" s="10" t="n">
        <v>6</v>
      </c>
      <c r="E49" s="11" t="s">
        <v>300</v>
      </c>
      <c r="F49" s="12" t="s">
        <v>301</v>
      </c>
      <c r="G49" s="11" t="s">
        <v>302</v>
      </c>
      <c r="H49" s="12" t="s">
        <v>303</v>
      </c>
      <c r="I49" s="13" t="str">
        <f aca="false">TRIM(IF(AND(E49&lt;&gt;"",LEN(E49)&lt;&gt;4),"宜不是4字 ","")&amp;IF(AND(G49&lt;&gt;"",LEN(G49)&lt;&gt;4),"忌不是4字 ","")&amp;IF(LEN(F49)&gt;26,"宜英文偏长 ","")&amp;IF(LEN(H49)&gt;26,"忌英文偏长",""))</f>
        <v/>
      </c>
    </row>
    <row r="50" customFormat="false" ht="15" hidden="false" customHeight="false" outlineLevel="0" collapsed="false">
      <c r="A50" s="8" t="s">
        <v>304</v>
      </c>
      <c r="B50" s="9" t="s">
        <v>305</v>
      </c>
      <c r="C50" s="10" t="n">
        <v>167</v>
      </c>
      <c r="D50" s="10" t="n">
        <v>38</v>
      </c>
      <c r="E50" s="11" t="s">
        <v>306</v>
      </c>
      <c r="F50" s="12" t="s">
        <v>307</v>
      </c>
      <c r="G50" s="11" t="s">
        <v>308</v>
      </c>
      <c r="H50" s="12" t="s">
        <v>309</v>
      </c>
      <c r="I50" s="13" t="str">
        <f aca="false">TRIM(IF(AND(E50&lt;&gt;"",LEN(E50)&lt;&gt;4),"宜不是4字 ","")&amp;IF(AND(G50&lt;&gt;"",LEN(G50)&lt;&gt;4),"忌不是4字 ","")&amp;IF(LEN(F50)&gt;26,"宜英文偏长 ","")&amp;IF(LEN(H50)&gt;26,"忌英文偏长",""))</f>
        <v/>
      </c>
    </row>
    <row r="51" customFormat="false" ht="15" hidden="false" customHeight="false" outlineLevel="0" collapsed="false">
      <c r="A51" s="8" t="s">
        <v>310</v>
      </c>
      <c r="B51" s="9" t="s">
        <v>311</v>
      </c>
      <c r="C51" s="10" t="n">
        <v>195</v>
      </c>
      <c r="D51" s="10" t="n">
        <v>1</v>
      </c>
      <c r="E51" s="11" t="s">
        <v>312</v>
      </c>
      <c r="F51" s="12" t="s">
        <v>313</v>
      </c>
      <c r="G51" s="11" t="s">
        <v>314</v>
      </c>
      <c r="H51" s="12" t="s">
        <v>315</v>
      </c>
      <c r="I51" s="13" t="str">
        <f aca="false">TRIM(IF(AND(E51&lt;&gt;"",LEN(E51)&lt;&gt;4),"宜不是4字 ","")&amp;IF(AND(G51&lt;&gt;"",LEN(G51)&lt;&gt;4),"忌不是4字 ","")&amp;IF(LEN(F51)&gt;26,"宜英文偏长 ","")&amp;IF(LEN(H51)&gt;26,"忌英文偏长",""))</f>
        <v/>
      </c>
    </row>
    <row r="52" customFormat="false" ht="15" hidden="false" customHeight="false" outlineLevel="0" collapsed="false">
      <c r="A52" s="8" t="s">
        <v>316</v>
      </c>
      <c r="B52" s="9" t="s">
        <v>317</v>
      </c>
      <c r="C52" s="10" t="n">
        <v>186</v>
      </c>
      <c r="D52" s="10" t="n">
        <v>7</v>
      </c>
      <c r="E52" s="11" t="s">
        <v>318</v>
      </c>
      <c r="F52" s="12" t="s">
        <v>319</v>
      </c>
      <c r="G52" s="11" t="s">
        <v>320</v>
      </c>
      <c r="H52" s="12" t="s">
        <v>321</v>
      </c>
      <c r="I52" s="13" t="str">
        <f aca="false">TRIM(IF(AND(E52&lt;&gt;"",LEN(E52)&lt;&gt;4),"宜不是4字 ","")&amp;IF(AND(G52&lt;&gt;"",LEN(G52)&lt;&gt;4),"忌不是4字 ","")&amp;IF(LEN(F52)&gt;26,"宜英文偏长 ","")&amp;IF(LEN(H52)&gt;26,"忌英文偏长",""))</f>
        <v/>
      </c>
    </row>
    <row r="53" customFormat="false" ht="15" hidden="false" customHeight="false" outlineLevel="0" collapsed="false">
      <c r="A53" s="8" t="s">
        <v>322</v>
      </c>
      <c r="B53" s="9" t="s">
        <v>323</v>
      </c>
      <c r="C53" s="10" t="n">
        <v>192</v>
      </c>
      <c r="D53" s="10" t="n">
        <v>0</v>
      </c>
      <c r="E53" s="11" t="s">
        <v>324</v>
      </c>
      <c r="F53" s="12" t="s">
        <v>325</v>
      </c>
      <c r="G53" s="14"/>
      <c r="H53" s="14"/>
      <c r="I53" s="13" t="str">
        <f aca="false">TRIM(IF(AND(E53&lt;&gt;"",LEN(E53)&lt;&gt;4),"宜不是4字 ","")&amp;IF(AND(G53&lt;&gt;"",LEN(G53)&lt;&gt;4),"忌不是4字 ","")&amp;IF(LEN(F53)&gt;26,"宜英文偏长 ","")&amp;IF(LEN(H53)&gt;26,"忌英文偏长",""))</f>
        <v/>
      </c>
    </row>
    <row r="54" customFormat="false" ht="15" hidden="false" customHeight="false" outlineLevel="0" collapsed="false">
      <c r="A54" s="8" t="s">
        <v>326</v>
      </c>
      <c r="B54" s="9" t="s">
        <v>327</v>
      </c>
      <c r="C54" s="10" t="n">
        <v>185</v>
      </c>
      <c r="D54" s="10" t="n">
        <v>0</v>
      </c>
      <c r="E54" s="11" t="s">
        <v>328</v>
      </c>
      <c r="F54" s="12" t="s">
        <v>329</v>
      </c>
      <c r="G54" s="14"/>
      <c r="H54" s="14"/>
      <c r="I54" s="13" t="str">
        <f aca="false">TRIM(IF(AND(E54&lt;&gt;"",LEN(E54)&lt;&gt;4),"宜不是4字 ","")&amp;IF(AND(G54&lt;&gt;"",LEN(G54)&lt;&gt;4),"忌不是4字 ","")&amp;IF(LEN(F54)&gt;26,"宜英文偏长 ","")&amp;IF(LEN(H54)&gt;26,"忌英文偏长",""))</f>
        <v/>
      </c>
    </row>
    <row r="55" customFormat="false" ht="15" hidden="false" customHeight="false" outlineLevel="0" collapsed="false">
      <c r="A55" s="8" t="s">
        <v>330</v>
      </c>
      <c r="B55" s="9" t="s">
        <v>331</v>
      </c>
      <c r="C55" s="10" t="n">
        <v>114</v>
      </c>
      <c r="D55" s="10" t="n">
        <v>67</v>
      </c>
      <c r="E55" s="11" t="s">
        <v>332</v>
      </c>
      <c r="F55" s="12" t="s">
        <v>333</v>
      </c>
      <c r="G55" s="11" t="s">
        <v>334</v>
      </c>
      <c r="H55" s="12" t="s">
        <v>335</v>
      </c>
      <c r="I55" s="13" t="str">
        <f aca="false">TRIM(IF(AND(E55&lt;&gt;"",LEN(E55)&lt;&gt;4),"宜不是4字 ","")&amp;IF(AND(G55&lt;&gt;"",LEN(G55)&lt;&gt;4),"忌不是4字 ","")&amp;IF(LEN(F55)&gt;26,"宜英文偏长 ","")&amp;IF(LEN(H55)&gt;26,"忌英文偏长",""))</f>
        <v/>
      </c>
    </row>
    <row r="56" customFormat="false" ht="15" hidden="false" customHeight="false" outlineLevel="0" collapsed="false">
      <c r="A56" s="8" t="s">
        <v>336</v>
      </c>
      <c r="B56" s="9" t="s">
        <v>337</v>
      </c>
      <c r="C56" s="10" t="n">
        <v>171</v>
      </c>
      <c r="D56" s="10" t="n">
        <v>6</v>
      </c>
      <c r="E56" s="11" t="s">
        <v>338</v>
      </c>
      <c r="F56" s="12" t="s">
        <v>339</v>
      </c>
      <c r="G56" s="11" t="s">
        <v>340</v>
      </c>
      <c r="H56" s="12" t="s">
        <v>341</v>
      </c>
      <c r="I56" s="13" t="str">
        <f aca="false">TRIM(IF(AND(E56&lt;&gt;"",LEN(E56)&lt;&gt;4),"宜不是4字 ","")&amp;IF(AND(G56&lt;&gt;"",LEN(G56)&lt;&gt;4),"忌不是4字 ","")&amp;IF(LEN(F56)&gt;26,"宜英文偏长 ","")&amp;IF(LEN(H56)&gt;26,"忌英文偏长",""))</f>
        <v/>
      </c>
    </row>
    <row r="57" customFormat="false" ht="15" hidden="false" customHeight="false" outlineLevel="0" collapsed="false">
      <c r="A57" s="8" t="s">
        <v>342</v>
      </c>
      <c r="B57" s="9" t="s">
        <v>343</v>
      </c>
      <c r="C57" s="10" t="n">
        <v>161</v>
      </c>
      <c r="D57" s="10" t="n">
        <v>9</v>
      </c>
      <c r="E57" s="11" t="s">
        <v>344</v>
      </c>
      <c r="F57" s="12" t="s">
        <v>345</v>
      </c>
      <c r="G57" s="11" t="s">
        <v>346</v>
      </c>
      <c r="H57" s="12" t="s">
        <v>347</v>
      </c>
      <c r="I57" s="13" t="str">
        <f aca="false">TRIM(IF(AND(E57&lt;&gt;"",LEN(E57)&lt;&gt;4),"宜不是4字 ","")&amp;IF(AND(G57&lt;&gt;"",LEN(G57)&lt;&gt;4),"忌不是4字 ","")&amp;IF(LEN(F57)&gt;26,"宜英文偏长 ","")&amp;IF(LEN(H57)&gt;26,"忌英文偏长",""))</f>
        <v/>
      </c>
    </row>
    <row r="58" customFormat="false" ht="15" hidden="false" customHeight="false" outlineLevel="0" collapsed="false">
      <c r="A58" s="8" t="s">
        <v>348</v>
      </c>
      <c r="B58" s="9" t="s">
        <v>349</v>
      </c>
      <c r="C58" s="10" t="n">
        <v>140</v>
      </c>
      <c r="D58" s="10" t="n">
        <v>29</v>
      </c>
      <c r="E58" s="11" t="s">
        <v>350</v>
      </c>
      <c r="F58" s="12" t="s">
        <v>351</v>
      </c>
      <c r="G58" s="11" t="s">
        <v>352</v>
      </c>
      <c r="H58" s="12" t="s">
        <v>353</v>
      </c>
      <c r="I58" s="13" t="str">
        <f aca="false">TRIM(IF(AND(E58&lt;&gt;"",LEN(E58)&lt;&gt;4),"宜不是4字 ","")&amp;IF(AND(G58&lt;&gt;"",LEN(G58)&lt;&gt;4),"忌不是4字 ","")&amp;IF(LEN(F58)&gt;26,"宜英文偏长 ","")&amp;IF(LEN(H58)&gt;26,"忌英文偏长",""))</f>
        <v/>
      </c>
    </row>
    <row r="59" customFormat="false" ht="15" hidden="false" customHeight="false" outlineLevel="0" collapsed="false">
      <c r="A59" s="8" t="s">
        <v>354</v>
      </c>
      <c r="B59" s="9" t="s">
        <v>355</v>
      </c>
      <c r="C59" s="10" t="n">
        <v>169</v>
      </c>
      <c r="D59" s="10" t="n">
        <v>0</v>
      </c>
      <c r="E59" s="11" t="s">
        <v>356</v>
      </c>
      <c r="F59" s="12" t="s">
        <v>357</v>
      </c>
      <c r="G59" s="14"/>
      <c r="H59" s="14"/>
      <c r="I59" s="13" t="str">
        <f aca="false">TRIM(IF(AND(E59&lt;&gt;"",LEN(E59)&lt;&gt;4),"宜不是4字 ","")&amp;IF(AND(G59&lt;&gt;"",LEN(G59)&lt;&gt;4),"忌不是4字 ","")&amp;IF(LEN(F59)&gt;26,"宜英文偏长 ","")&amp;IF(LEN(H59)&gt;26,"忌英文偏长",""))</f>
        <v/>
      </c>
    </row>
    <row r="60" customFormat="false" ht="15" hidden="false" customHeight="false" outlineLevel="0" collapsed="false">
      <c r="A60" s="8" t="s">
        <v>358</v>
      </c>
      <c r="B60" s="9" t="s">
        <v>359</v>
      </c>
      <c r="C60" s="10" t="n">
        <v>164</v>
      </c>
      <c r="D60" s="10" t="n">
        <v>4</v>
      </c>
      <c r="E60" s="11" t="s">
        <v>360</v>
      </c>
      <c r="F60" s="12" t="s">
        <v>361</v>
      </c>
      <c r="G60" s="11" t="s">
        <v>362</v>
      </c>
      <c r="H60" s="12" t="s">
        <v>363</v>
      </c>
      <c r="I60" s="13" t="str">
        <f aca="false">TRIM(IF(AND(E60&lt;&gt;"",LEN(E60)&lt;&gt;4),"宜不是4字 ","")&amp;IF(AND(G60&lt;&gt;"",LEN(G60)&lt;&gt;4),"忌不是4字 ","")&amp;IF(LEN(F60)&gt;26,"宜英文偏长 ","")&amp;IF(LEN(H60)&gt;26,"忌英文偏长",""))</f>
        <v/>
      </c>
    </row>
    <row r="61" customFormat="false" ht="15" hidden="false" customHeight="false" outlineLevel="0" collapsed="false">
      <c r="A61" s="8" t="s">
        <v>364</v>
      </c>
      <c r="B61" s="9" t="s">
        <v>365</v>
      </c>
      <c r="C61" s="10" t="n">
        <v>163</v>
      </c>
      <c r="D61" s="10" t="n">
        <v>5</v>
      </c>
      <c r="E61" s="11" t="s">
        <v>366</v>
      </c>
      <c r="F61" s="12" t="s">
        <v>367</v>
      </c>
      <c r="G61" s="11" t="s">
        <v>368</v>
      </c>
      <c r="H61" s="12" t="s">
        <v>369</v>
      </c>
      <c r="I61" s="13" t="str">
        <f aca="false">TRIM(IF(AND(E61&lt;&gt;"",LEN(E61)&lt;&gt;4),"宜不是4字 ","")&amp;IF(AND(G61&lt;&gt;"",LEN(G61)&lt;&gt;4),"忌不是4字 ","")&amp;IF(LEN(F61)&gt;26,"宜英文偏长 ","")&amp;IF(LEN(H61)&gt;26,"忌英文偏长",""))</f>
        <v/>
      </c>
    </row>
    <row r="62" customFormat="false" ht="15" hidden="false" customHeight="false" outlineLevel="0" collapsed="false">
      <c r="A62" s="8" t="s">
        <v>370</v>
      </c>
      <c r="B62" s="9" t="s">
        <v>371</v>
      </c>
      <c r="C62" s="10" t="n">
        <v>151</v>
      </c>
      <c r="D62" s="10" t="n">
        <v>4</v>
      </c>
      <c r="E62" s="11" t="s">
        <v>372</v>
      </c>
      <c r="F62" s="12" t="s">
        <v>373</v>
      </c>
      <c r="G62" s="11" t="s">
        <v>374</v>
      </c>
      <c r="H62" s="12" t="s">
        <v>375</v>
      </c>
      <c r="I62" s="13" t="str">
        <f aca="false">TRIM(IF(AND(E62&lt;&gt;"",LEN(E62)&lt;&gt;4),"宜不是4字 ","")&amp;IF(AND(G62&lt;&gt;"",LEN(G62)&lt;&gt;4),"忌不是4字 ","")&amp;IF(LEN(F62)&gt;26,"宜英文偏长 ","")&amp;IF(LEN(H62)&gt;26,"忌英文偏长",""))</f>
        <v/>
      </c>
    </row>
    <row r="63" customFormat="false" ht="15" hidden="false" customHeight="false" outlineLevel="0" collapsed="false">
      <c r="A63" s="8" t="s">
        <v>376</v>
      </c>
      <c r="B63" s="9" t="s">
        <v>377</v>
      </c>
      <c r="C63" s="10" t="n">
        <v>145</v>
      </c>
      <c r="D63" s="10" t="n">
        <v>0</v>
      </c>
      <c r="E63" s="11" t="s">
        <v>378</v>
      </c>
      <c r="F63" s="12" t="s">
        <v>379</v>
      </c>
      <c r="G63" s="14"/>
      <c r="H63" s="14"/>
      <c r="I63" s="13" t="str">
        <f aca="false">TRIM(IF(AND(E63&lt;&gt;"",LEN(E63)&lt;&gt;4),"宜不是4字 ","")&amp;IF(AND(G63&lt;&gt;"",LEN(G63)&lt;&gt;4),"忌不是4字 ","")&amp;IF(LEN(F63)&gt;26,"宜英文偏长 ","")&amp;IF(LEN(H63)&gt;26,"忌英文偏长",""))</f>
        <v/>
      </c>
    </row>
    <row r="64" customFormat="false" ht="15" hidden="false" customHeight="false" outlineLevel="0" collapsed="false">
      <c r="A64" s="8" t="s">
        <v>380</v>
      </c>
      <c r="B64" s="9" t="s">
        <v>381</v>
      </c>
      <c r="C64" s="10" t="n">
        <v>49</v>
      </c>
      <c r="D64" s="10" t="n">
        <v>95</v>
      </c>
      <c r="E64" s="11" t="s">
        <v>382</v>
      </c>
      <c r="F64" s="12" t="s">
        <v>383</v>
      </c>
      <c r="G64" s="11" t="s">
        <v>384</v>
      </c>
      <c r="H64" s="12" t="s">
        <v>385</v>
      </c>
      <c r="I64" s="13" t="str">
        <f aca="false">TRIM(IF(AND(E64&lt;&gt;"",LEN(E64)&lt;&gt;4),"宜不是4字 ","")&amp;IF(AND(G64&lt;&gt;"",LEN(G64)&lt;&gt;4),"忌不是4字 ","")&amp;IF(LEN(F64)&gt;26,"宜英文偏长 ","")&amp;IF(LEN(H64)&gt;26,"忌英文偏长",""))</f>
        <v/>
      </c>
    </row>
    <row r="65" customFormat="false" ht="15" hidden="false" customHeight="false" outlineLevel="0" collapsed="false">
      <c r="A65" s="8" t="s">
        <v>386</v>
      </c>
      <c r="B65" s="9" t="s">
        <v>387</v>
      </c>
      <c r="C65" s="10" t="n">
        <v>143</v>
      </c>
      <c r="D65" s="10" t="n">
        <v>0</v>
      </c>
      <c r="E65" s="11" t="s">
        <v>388</v>
      </c>
      <c r="F65" s="12" t="s">
        <v>389</v>
      </c>
      <c r="G65" s="14"/>
      <c r="H65" s="14"/>
      <c r="I65" s="13" t="str">
        <f aca="false">TRIM(IF(AND(E65&lt;&gt;"",LEN(E65)&lt;&gt;4),"宜不是4字 ","")&amp;IF(AND(G65&lt;&gt;"",LEN(G65)&lt;&gt;4),"忌不是4字 ","")&amp;IF(LEN(F65)&gt;26,"宜英文偏长 ","")&amp;IF(LEN(H65)&gt;26,"忌英文偏长",""))</f>
        <v/>
      </c>
    </row>
    <row r="66" customFormat="false" ht="15" hidden="false" customHeight="false" outlineLevel="0" collapsed="false">
      <c r="A66" s="8" t="s">
        <v>390</v>
      </c>
      <c r="B66" s="9" t="s">
        <v>391</v>
      </c>
      <c r="C66" s="10" t="n">
        <v>128</v>
      </c>
      <c r="D66" s="10" t="n">
        <v>7</v>
      </c>
      <c r="E66" s="11" t="s">
        <v>392</v>
      </c>
      <c r="F66" s="12" t="s">
        <v>393</v>
      </c>
      <c r="G66" s="11" t="s">
        <v>394</v>
      </c>
      <c r="H66" s="12" t="s">
        <v>395</v>
      </c>
      <c r="I66" s="13" t="str">
        <f aca="false">TRIM(IF(AND(E66&lt;&gt;"",LEN(E66)&lt;&gt;4),"宜不是4字 ","")&amp;IF(AND(G66&lt;&gt;"",LEN(G66)&lt;&gt;4),"忌不是4字 ","")&amp;IF(LEN(F66)&gt;26,"宜英文偏长 ","")&amp;IF(LEN(H66)&gt;26,"忌英文偏长",""))</f>
        <v/>
      </c>
    </row>
    <row r="67" customFormat="false" ht="15" hidden="false" customHeight="false" outlineLevel="0" collapsed="false">
      <c r="A67" s="8" t="s">
        <v>396</v>
      </c>
      <c r="B67" s="9" t="s">
        <v>397</v>
      </c>
      <c r="C67" s="10" t="n">
        <v>133</v>
      </c>
      <c r="D67" s="10" t="n">
        <v>0</v>
      </c>
      <c r="E67" s="11" t="s">
        <v>398</v>
      </c>
      <c r="F67" s="12" t="s">
        <v>399</v>
      </c>
      <c r="G67" s="14"/>
      <c r="H67" s="14"/>
      <c r="I67" s="13" t="str">
        <f aca="false">TRIM(IF(AND(E67&lt;&gt;"",LEN(E67)&lt;&gt;4),"宜不是4字 ","")&amp;IF(AND(G67&lt;&gt;"",LEN(G67)&lt;&gt;4),"忌不是4字 ","")&amp;IF(LEN(F67)&gt;26,"宜英文偏长 ","")&amp;IF(LEN(H67)&gt;26,"忌英文偏长",""))</f>
        <v/>
      </c>
    </row>
    <row r="68" customFormat="false" ht="15" hidden="false" customHeight="false" outlineLevel="0" collapsed="false">
      <c r="A68" s="8" t="s">
        <v>400</v>
      </c>
      <c r="B68" s="9" t="s">
        <v>401</v>
      </c>
      <c r="C68" s="10" t="n">
        <v>60</v>
      </c>
      <c r="D68" s="10" t="n">
        <v>69</v>
      </c>
      <c r="E68" s="11" t="s">
        <v>402</v>
      </c>
      <c r="F68" s="12" t="s">
        <v>403</v>
      </c>
      <c r="G68" s="11" t="s">
        <v>404</v>
      </c>
      <c r="H68" s="12" t="s">
        <v>405</v>
      </c>
      <c r="I68" s="13" t="str">
        <f aca="false">TRIM(IF(AND(E68&lt;&gt;"",LEN(E68)&lt;&gt;4),"宜不是4字 ","")&amp;IF(AND(G68&lt;&gt;"",LEN(G68)&lt;&gt;4),"忌不是4字 ","")&amp;IF(LEN(F68)&gt;26,"宜英文偏长 ","")&amp;IF(LEN(H68)&gt;26,"忌英文偏长",""))</f>
        <v/>
      </c>
    </row>
    <row r="69" customFormat="false" ht="15" hidden="false" customHeight="false" outlineLevel="0" collapsed="false">
      <c r="A69" s="8" t="s">
        <v>406</v>
      </c>
      <c r="B69" s="9" t="s">
        <v>407</v>
      </c>
      <c r="C69" s="10" t="n">
        <v>50</v>
      </c>
      <c r="D69" s="10" t="n">
        <v>79</v>
      </c>
      <c r="E69" s="11" t="s">
        <v>408</v>
      </c>
      <c r="F69" s="12" t="s">
        <v>409</v>
      </c>
      <c r="G69" s="11" t="s">
        <v>410</v>
      </c>
      <c r="H69" s="12" t="s">
        <v>411</v>
      </c>
      <c r="I69" s="13" t="str">
        <f aca="false">TRIM(IF(AND(E69&lt;&gt;"",LEN(E69)&lt;&gt;4),"宜不是4字 ","")&amp;IF(AND(G69&lt;&gt;"",LEN(G69)&lt;&gt;4),"忌不是4字 ","")&amp;IF(LEN(F69)&gt;26,"宜英文偏长 ","")&amp;IF(LEN(H69)&gt;26,"忌英文偏长",""))</f>
        <v/>
      </c>
    </row>
    <row r="70" customFormat="false" ht="15" hidden="false" customHeight="false" outlineLevel="0" collapsed="false">
      <c r="A70" s="8" t="s">
        <v>412</v>
      </c>
      <c r="B70" s="9" t="s">
        <v>413</v>
      </c>
      <c r="C70" s="10" t="n">
        <v>97</v>
      </c>
      <c r="D70" s="10" t="n">
        <v>31</v>
      </c>
      <c r="E70" s="11" t="s">
        <v>414</v>
      </c>
      <c r="F70" s="12" t="s">
        <v>415</v>
      </c>
      <c r="G70" s="11" t="s">
        <v>416</v>
      </c>
      <c r="H70" s="12" t="s">
        <v>417</v>
      </c>
      <c r="I70" s="13" t="str">
        <f aca="false">TRIM(IF(AND(E70&lt;&gt;"",LEN(E70)&lt;&gt;4),"宜不是4字 ","")&amp;IF(AND(G70&lt;&gt;"",LEN(G70)&lt;&gt;4),"忌不是4字 ","")&amp;IF(LEN(F70)&gt;26,"宜英文偏长 ","")&amp;IF(LEN(H70)&gt;26,"忌英文偏长",""))</f>
        <v/>
      </c>
    </row>
    <row r="71" customFormat="false" ht="15" hidden="false" customHeight="false" outlineLevel="0" collapsed="false">
      <c r="A71" s="8" t="s">
        <v>418</v>
      </c>
      <c r="B71" s="9" t="s">
        <v>419</v>
      </c>
      <c r="C71" s="10" t="n">
        <v>118</v>
      </c>
      <c r="D71" s="10" t="n">
        <v>0</v>
      </c>
      <c r="E71" s="11" t="s">
        <v>420</v>
      </c>
      <c r="F71" s="12" t="s">
        <v>421</v>
      </c>
      <c r="G71" s="14"/>
      <c r="H71" s="14"/>
      <c r="I71" s="13" t="str">
        <f aca="false">TRIM(IF(AND(E71&lt;&gt;"",LEN(E71)&lt;&gt;4),"宜不是4字 ","")&amp;IF(AND(G71&lt;&gt;"",LEN(G71)&lt;&gt;4),"忌不是4字 ","")&amp;IF(LEN(F71)&gt;26,"宜英文偏长 ","")&amp;IF(LEN(H71)&gt;26,"忌英文偏长",""))</f>
        <v/>
      </c>
    </row>
    <row r="72" customFormat="false" ht="15" hidden="false" customHeight="false" outlineLevel="0" collapsed="false">
      <c r="A72" s="8" t="s">
        <v>422</v>
      </c>
      <c r="B72" s="9" t="s">
        <v>423</v>
      </c>
      <c r="C72" s="10" t="n">
        <v>39</v>
      </c>
      <c r="D72" s="10" t="n">
        <v>79</v>
      </c>
      <c r="E72" s="11" t="s">
        <v>424</v>
      </c>
      <c r="F72" s="12" t="s">
        <v>425</v>
      </c>
      <c r="G72" s="11" t="s">
        <v>426</v>
      </c>
      <c r="H72" s="12" t="s">
        <v>427</v>
      </c>
      <c r="I72" s="13" t="str">
        <f aca="false">TRIM(IF(AND(E72&lt;&gt;"",LEN(E72)&lt;&gt;4),"宜不是4字 ","")&amp;IF(AND(G72&lt;&gt;"",LEN(G72)&lt;&gt;4),"忌不是4字 ","")&amp;IF(LEN(F72)&gt;26,"宜英文偏长 ","")&amp;IF(LEN(H72)&gt;26,"忌英文偏长",""))</f>
        <v/>
      </c>
    </row>
    <row r="73" customFormat="false" ht="15" hidden="false" customHeight="false" outlineLevel="0" collapsed="false">
      <c r="A73" s="8" t="s">
        <v>428</v>
      </c>
      <c r="B73" s="9" t="s">
        <v>429</v>
      </c>
      <c r="C73" s="10" t="n">
        <v>24</v>
      </c>
      <c r="D73" s="10" t="n">
        <v>89</v>
      </c>
      <c r="E73" s="11" t="s">
        <v>430</v>
      </c>
      <c r="F73" s="12" t="s">
        <v>431</v>
      </c>
      <c r="G73" s="11" t="s">
        <v>432</v>
      </c>
      <c r="H73" s="12" t="s">
        <v>433</v>
      </c>
      <c r="I73" s="13" t="str">
        <f aca="false">TRIM(IF(AND(E73&lt;&gt;"",LEN(E73)&lt;&gt;4),"宜不是4字 ","")&amp;IF(AND(G73&lt;&gt;"",LEN(G73)&lt;&gt;4),"忌不是4字 ","")&amp;IF(LEN(F73)&gt;26,"宜英文偏长 ","")&amp;IF(LEN(H73)&gt;26,"忌英文偏长",""))</f>
        <v/>
      </c>
    </row>
    <row r="74" customFormat="false" ht="15" hidden="false" customHeight="false" outlineLevel="0" collapsed="false">
      <c r="A74" s="8" t="s">
        <v>434</v>
      </c>
      <c r="B74" s="9" t="s">
        <v>435</v>
      </c>
      <c r="C74" s="10" t="n">
        <v>100</v>
      </c>
      <c r="D74" s="10" t="n">
        <v>12</v>
      </c>
      <c r="E74" s="11" t="s">
        <v>436</v>
      </c>
      <c r="F74" s="12" t="s">
        <v>437</v>
      </c>
      <c r="G74" s="11" t="s">
        <v>438</v>
      </c>
      <c r="H74" s="12" t="s">
        <v>439</v>
      </c>
      <c r="I74" s="13" t="str">
        <f aca="false">TRIM(IF(AND(E74&lt;&gt;"",LEN(E74)&lt;&gt;4),"宜不是4字 ","")&amp;IF(AND(G74&lt;&gt;"",LEN(G74)&lt;&gt;4),"忌不是4字 ","")&amp;IF(LEN(F74)&gt;26,"宜英文偏长 ","")&amp;IF(LEN(H74)&gt;26,"忌英文偏长",""))</f>
        <v/>
      </c>
    </row>
    <row r="75" customFormat="false" ht="15" hidden="false" customHeight="false" outlineLevel="0" collapsed="false">
      <c r="A75" s="8" t="s">
        <v>440</v>
      </c>
      <c r="B75" s="9" t="s">
        <v>440</v>
      </c>
      <c r="C75" s="10" t="n">
        <v>32</v>
      </c>
      <c r="D75" s="10" t="n">
        <v>76</v>
      </c>
      <c r="E75" s="11" t="s">
        <v>441</v>
      </c>
      <c r="F75" s="12" t="s">
        <v>442</v>
      </c>
      <c r="G75" s="11" t="s">
        <v>443</v>
      </c>
      <c r="H75" s="12" t="s">
        <v>444</v>
      </c>
      <c r="I75" s="13" t="str">
        <f aca="false">TRIM(IF(AND(E75&lt;&gt;"",LEN(E75)&lt;&gt;4),"宜不是4字 ","")&amp;IF(AND(G75&lt;&gt;"",LEN(G75)&lt;&gt;4),"忌不是4字 ","")&amp;IF(LEN(F75)&gt;26,"宜英文偏长 ","")&amp;IF(LEN(H75)&gt;26,"忌英文偏长",""))</f>
        <v/>
      </c>
    </row>
    <row r="76" customFormat="false" ht="15" hidden="false" customHeight="false" outlineLevel="0" collapsed="false">
      <c r="A76" s="8" t="s">
        <v>445</v>
      </c>
      <c r="B76" s="9" t="s">
        <v>446</v>
      </c>
      <c r="C76" s="10" t="n">
        <v>0</v>
      </c>
      <c r="D76" s="10" t="n">
        <v>97</v>
      </c>
      <c r="E76" s="14"/>
      <c r="F76" s="14"/>
      <c r="G76" s="11" t="s">
        <v>447</v>
      </c>
      <c r="H76" s="12" t="s">
        <v>448</v>
      </c>
      <c r="I76" s="13" t="str">
        <f aca="false">TRIM(IF(AND(E76&lt;&gt;"",LEN(E76)&lt;&gt;4),"宜不是4字 ","")&amp;IF(AND(G76&lt;&gt;"",LEN(G76)&lt;&gt;4),"忌不是4字 ","")&amp;IF(LEN(F76)&gt;26,"宜英文偏长 ","")&amp;IF(LEN(H76)&gt;26,"忌英文偏长",""))</f>
        <v/>
      </c>
    </row>
    <row r="77" customFormat="false" ht="15" hidden="false" customHeight="false" outlineLevel="0" collapsed="false">
      <c r="A77" s="8" t="s">
        <v>449</v>
      </c>
      <c r="B77" s="9" t="s">
        <v>450</v>
      </c>
      <c r="C77" s="10" t="n">
        <v>39</v>
      </c>
      <c r="D77" s="10" t="n">
        <v>55</v>
      </c>
      <c r="E77" s="11" t="s">
        <v>451</v>
      </c>
      <c r="F77" s="12" t="s">
        <v>452</v>
      </c>
      <c r="G77" s="11" t="s">
        <v>453</v>
      </c>
      <c r="H77" s="12" t="s">
        <v>454</v>
      </c>
      <c r="I77" s="13" t="str">
        <f aca="false">TRIM(IF(AND(E77&lt;&gt;"",LEN(E77)&lt;&gt;4),"宜不是4字 ","")&amp;IF(AND(G77&lt;&gt;"",LEN(G77)&lt;&gt;4),"忌不是4字 ","")&amp;IF(LEN(F77)&gt;26,"宜英文偏长 ","")&amp;IF(LEN(H77)&gt;26,"忌英文偏长",""))</f>
        <v/>
      </c>
    </row>
    <row r="78" customFormat="false" ht="15" hidden="false" customHeight="false" outlineLevel="0" collapsed="false">
      <c r="A78" s="8" t="s">
        <v>455</v>
      </c>
      <c r="B78" s="9" t="s">
        <v>456</v>
      </c>
      <c r="C78" s="10" t="n">
        <v>91</v>
      </c>
      <c r="D78" s="10" t="n">
        <v>0</v>
      </c>
      <c r="E78" s="11" t="s">
        <v>457</v>
      </c>
      <c r="F78" s="12" t="s">
        <v>458</v>
      </c>
      <c r="G78" s="14"/>
      <c r="H78" s="14"/>
      <c r="I78" s="13" t="str">
        <f aca="false">TRIM(IF(AND(E78&lt;&gt;"",LEN(E78)&lt;&gt;4),"宜不是4字 ","")&amp;IF(AND(G78&lt;&gt;"",LEN(G78)&lt;&gt;4),"忌不是4字 ","")&amp;IF(LEN(F78)&gt;26,"宜英文偏长 ","")&amp;IF(LEN(H78)&gt;26,"忌英文偏长",""))</f>
        <v/>
      </c>
    </row>
    <row r="79" customFormat="false" ht="15" hidden="false" customHeight="false" outlineLevel="0" collapsed="false">
      <c r="A79" s="8" t="s">
        <v>459</v>
      </c>
      <c r="B79" s="9" t="s">
        <v>460</v>
      </c>
      <c r="C79" s="10" t="n">
        <v>16</v>
      </c>
      <c r="D79" s="10" t="n">
        <v>75</v>
      </c>
      <c r="E79" s="11" t="s">
        <v>461</v>
      </c>
      <c r="F79" s="12" t="s">
        <v>462</v>
      </c>
      <c r="G79" s="11" t="s">
        <v>463</v>
      </c>
      <c r="H79" s="12" t="s">
        <v>464</v>
      </c>
      <c r="I79" s="13" t="str">
        <f aca="false">TRIM(IF(AND(E79&lt;&gt;"",LEN(E79)&lt;&gt;4),"宜不是4字 ","")&amp;IF(AND(G79&lt;&gt;"",LEN(G79)&lt;&gt;4),"忌不是4字 ","")&amp;IF(LEN(F79)&gt;26,"宜英文偏长 ","")&amp;IF(LEN(H79)&gt;26,"忌英文偏长",""))</f>
        <v/>
      </c>
    </row>
    <row r="80" customFormat="false" ht="15" hidden="false" customHeight="false" outlineLevel="0" collapsed="false">
      <c r="A80" s="8" t="s">
        <v>465</v>
      </c>
      <c r="B80" s="9" t="s">
        <v>466</v>
      </c>
      <c r="C80" s="10" t="n">
        <v>86</v>
      </c>
      <c r="D80" s="10" t="n">
        <v>3</v>
      </c>
      <c r="E80" s="11" t="s">
        <v>467</v>
      </c>
      <c r="F80" s="12" t="s">
        <v>468</v>
      </c>
      <c r="G80" s="11" t="s">
        <v>469</v>
      </c>
      <c r="H80" s="12" t="s">
        <v>470</v>
      </c>
      <c r="I80" s="13" t="str">
        <f aca="false">TRIM(IF(AND(E80&lt;&gt;"",LEN(E80)&lt;&gt;4),"宜不是4字 ","")&amp;IF(AND(G80&lt;&gt;"",LEN(G80)&lt;&gt;4),"忌不是4字 ","")&amp;IF(LEN(F80)&gt;26,"宜英文偏长 ","")&amp;IF(LEN(H80)&gt;26,"忌英文偏长",""))</f>
        <v/>
      </c>
    </row>
    <row r="81" customFormat="false" ht="15" hidden="false" customHeight="false" outlineLevel="0" collapsed="false">
      <c r="A81" s="8" t="s">
        <v>471</v>
      </c>
      <c r="B81" s="9" t="s">
        <v>472</v>
      </c>
      <c r="C81" s="10" t="n">
        <v>86</v>
      </c>
      <c r="D81" s="10" t="n">
        <v>0</v>
      </c>
      <c r="E81" s="11" t="s">
        <v>473</v>
      </c>
      <c r="F81" s="12" t="s">
        <v>474</v>
      </c>
      <c r="G81" s="14"/>
      <c r="H81" s="14"/>
      <c r="I81" s="13" t="str">
        <f aca="false">TRIM(IF(AND(E81&lt;&gt;"",LEN(E81)&lt;&gt;4),"宜不是4字 ","")&amp;IF(AND(G81&lt;&gt;"",LEN(G81)&lt;&gt;4),"忌不是4字 ","")&amp;IF(LEN(F81)&gt;26,"宜英文偏长 ","")&amp;IF(LEN(H81)&gt;26,"忌英文偏长",""))</f>
        <v/>
      </c>
    </row>
    <row r="82" customFormat="false" ht="15" hidden="false" customHeight="false" outlineLevel="0" collapsed="false">
      <c r="A82" s="8" t="s">
        <v>475</v>
      </c>
      <c r="B82" s="9" t="s">
        <v>476</v>
      </c>
      <c r="C82" s="10" t="n">
        <v>83</v>
      </c>
      <c r="D82" s="10" t="n">
        <v>0</v>
      </c>
      <c r="E82" s="11" t="s">
        <v>477</v>
      </c>
      <c r="F82" s="12" t="s">
        <v>478</v>
      </c>
      <c r="G82" s="14"/>
      <c r="H82" s="14"/>
      <c r="I82" s="13" t="str">
        <f aca="false">TRIM(IF(AND(E82&lt;&gt;"",LEN(E82)&lt;&gt;4),"宜不是4字 ","")&amp;IF(AND(G82&lt;&gt;"",LEN(G82)&lt;&gt;4),"忌不是4字 ","")&amp;IF(LEN(F82)&gt;26,"宜英文偏长 ","")&amp;IF(LEN(H82)&gt;26,"忌英文偏长",""))</f>
        <v/>
      </c>
    </row>
    <row r="83" customFormat="false" ht="15" hidden="false" customHeight="false" outlineLevel="0" collapsed="false">
      <c r="A83" s="8" t="s">
        <v>479</v>
      </c>
      <c r="B83" s="9" t="s">
        <v>480</v>
      </c>
      <c r="C83" s="10" t="n">
        <v>42</v>
      </c>
      <c r="D83" s="10" t="n">
        <v>41</v>
      </c>
      <c r="E83" s="11" t="s">
        <v>481</v>
      </c>
      <c r="F83" s="12" t="s">
        <v>482</v>
      </c>
      <c r="G83" s="11" t="s">
        <v>483</v>
      </c>
      <c r="H83" s="12" t="s">
        <v>484</v>
      </c>
      <c r="I83" s="13" t="str">
        <f aca="false">TRIM(IF(AND(E83&lt;&gt;"",LEN(E83)&lt;&gt;4),"宜不是4字 ","")&amp;IF(AND(G83&lt;&gt;"",LEN(G83)&lt;&gt;4),"忌不是4字 ","")&amp;IF(LEN(F83)&gt;26,"宜英文偏长 ","")&amp;IF(LEN(H83)&gt;26,"忌英文偏长",""))</f>
        <v/>
      </c>
    </row>
    <row r="84" customFormat="false" ht="15" hidden="false" customHeight="false" outlineLevel="0" collapsed="false">
      <c r="A84" s="8" t="s">
        <v>485</v>
      </c>
      <c r="B84" s="9" t="s">
        <v>486</v>
      </c>
      <c r="C84" s="10" t="n">
        <v>75</v>
      </c>
      <c r="D84" s="10" t="n">
        <v>6</v>
      </c>
      <c r="E84" s="11" t="s">
        <v>487</v>
      </c>
      <c r="F84" s="12" t="s">
        <v>488</v>
      </c>
      <c r="G84" s="11" t="s">
        <v>489</v>
      </c>
      <c r="H84" s="12" t="s">
        <v>490</v>
      </c>
      <c r="I84" s="13" t="str">
        <f aca="false">TRIM(IF(AND(E84&lt;&gt;"",LEN(E84)&lt;&gt;4),"宜不是4字 ","")&amp;IF(AND(G84&lt;&gt;"",LEN(G84)&lt;&gt;4),"忌不是4字 ","")&amp;IF(LEN(F84)&gt;26,"宜英文偏长 ","")&amp;IF(LEN(H84)&gt;26,"忌英文偏长",""))</f>
        <v/>
      </c>
    </row>
    <row r="85" customFormat="false" ht="15" hidden="false" customHeight="false" outlineLevel="0" collapsed="false">
      <c r="A85" s="8" t="s">
        <v>491</v>
      </c>
      <c r="B85" s="9" t="s">
        <v>492</v>
      </c>
      <c r="C85" s="10" t="n">
        <v>80</v>
      </c>
      <c r="D85" s="10" t="n">
        <v>0</v>
      </c>
      <c r="E85" s="11" t="s">
        <v>493</v>
      </c>
      <c r="F85" s="12" t="s">
        <v>494</v>
      </c>
      <c r="G85" s="14"/>
      <c r="H85" s="14"/>
      <c r="I85" s="13" t="str">
        <f aca="false">TRIM(IF(AND(E85&lt;&gt;"",LEN(E85)&lt;&gt;4),"宜不是4字 ","")&amp;IF(AND(G85&lt;&gt;"",LEN(G85)&lt;&gt;4),"忌不是4字 ","")&amp;IF(LEN(F85)&gt;26,"宜英文偏长 ","")&amp;IF(LEN(H85)&gt;26,"忌英文偏长",""))</f>
        <v/>
      </c>
    </row>
    <row r="86" customFormat="false" ht="15" hidden="false" customHeight="false" outlineLevel="0" collapsed="false">
      <c r="A86" s="8" t="s">
        <v>495</v>
      </c>
      <c r="B86" s="9" t="s">
        <v>496</v>
      </c>
      <c r="C86" s="10" t="n">
        <v>53</v>
      </c>
      <c r="D86" s="10" t="n">
        <v>23</v>
      </c>
      <c r="E86" s="11" t="s">
        <v>497</v>
      </c>
      <c r="F86" s="12" t="s">
        <v>498</v>
      </c>
      <c r="G86" s="11" t="s">
        <v>499</v>
      </c>
      <c r="H86" s="12" t="s">
        <v>500</v>
      </c>
      <c r="I86" s="13" t="str">
        <f aca="false">TRIM(IF(AND(E86&lt;&gt;"",LEN(E86)&lt;&gt;4),"宜不是4字 ","")&amp;IF(AND(G86&lt;&gt;"",LEN(G86)&lt;&gt;4),"忌不是4字 ","")&amp;IF(LEN(F86)&gt;26,"宜英文偏长 ","")&amp;IF(LEN(H86)&gt;26,"忌英文偏长",""))</f>
        <v/>
      </c>
    </row>
    <row r="87" customFormat="false" ht="15" hidden="false" customHeight="false" outlineLevel="0" collapsed="false">
      <c r="A87" s="8" t="s">
        <v>501</v>
      </c>
      <c r="B87" s="9" t="s">
        <v>502</v>
      </c>
      <c r="C87" s="10" t="n">
        <v>58</v>
      </c>
      <c r="D87" s="10" t="n">
        <v>17</v>
      </c>
      <c r="E87" s="11" t="s">
        <v>503</v>
      </c>
      <c r="F87" s="12" t="s">
        <v>504</v>
      </c>
      <c r="G87" s="11" t="s">
        <v>505</v>
      </c>
      <c r="H87" s="12" t="s">
        <v>506</v>
      </c>
      <c r="I87" s="13" t="str">
        <f aca="false">TRIM(IF(AND(E87&lt;&gt;"",LEN(E87)&lt;&gt;4),"宜不是4字 ","")&amp;IF(AND(G87&lt;&gt;"",LEN(G87)&lt;&gt;4),"忌不是4字 ","")&amp;IF(LEN(F87)&gt;26,"宜英文偏长 ","")&amp;IF(LEN(H87)&gt;26,"忌英文偏长",""))</f>
        <v/>
      </c>
    </row>
    <row r="88" customFormat="false" ht="15" hidden="false" customHeight="false" outlineLevel="0" collapsed="false">
      <c r="A88" s="8" t="s">
        <v>507</v>
      </c>
      <c r="B88" s="9" t="s">
        <v>508</v>
      </c>
      <c r="C88" s="10" t="n">
        <v>45</v>
      </c>
      <c r="D88" s="10" t="n">
        <v>24</v>
      </c>
      <c r="E88" s="11" t="s">
        <v>509</v>
      </c>
      <c r="F88" s="12" t="s">
        <v>510</v>
      </c>
      <c r="G88" s="11" t="s">
        <v>511</v>
      </c>
      <c r="H88" s="12" t="s">
        <v>512</v>
      </c>
      <c r="I88" s="13" t="str">
        <f aca="false">TRIM(IF(AND(E88&lt;&gt;"",LEN(E88)&lt;&gt;4),"宜不是4字 ","")&amp;IF(AND(G88&lt;&gt;"",LEN(G88)&lt;&gt;4),"忌不是4字 ","")&amp;IF(LEN(F88)&gt;26,"宜英文偏长 ","")&amp;IF(LEN(H88)&gt;26,"忌英文偏长",""))</f>
        <v/>
      </c>
    </row>
    <row r="89" customFormat="false" ht="15" hidden="false" customHeight="false" outlineLevel="0" collapsed="false">
      <c r="A89" s="8" t="s">
        <v>513</v>
      </c>
      <c r="B89" s="9" t="s">
        <v>514</v>
      </c>
      <c r="C89" s="10" t="n">
        <v>59</v>
      </c>
      <c r="D89" s="10" t="n">
        <v>4</v>
      </c>
      <c r="E89" s="11" t="s">
        <v>515</v>
      </c>
      <c r="F89" s="12" t="s">
        <v>516</v>
      </c>
      <c r="G89" s="11" t="s">
        <v>517</v>
      </c>
      <c r="H89" s="12" t="s">
        <v>518</v>
      </c>
      <c r="I89" s="13" t="str">
        <f aca="false">TRIM(IF(AND(E89&lt;&gt;"",LEN(E89)&lt;&gt;4),"宜不是4字 ","")&amp;IF(AND(G89&lt;&gt;"",LEN(G89)&lt;&gt;4),"忌不是4字 ","")&amp;IF(LEN(F89)&gt;26,"宜英文偏长 ","")&amp;IF(LEN(H89)&gt;26,"忌英文偏长",""))</f>
        <v/>
      </c>
    </row>
    <row r="90" customFormat="false" ht="15" hidden="false" customHeight="false" outlineLevel="0" collapsed="false">
      <c r="A90" s="8" t="s">
        <v>519</v>
      </c>
      <c r="B90" s="9" t="s">
        <v>520</v>
      </c>
      <c r="C90" s="10" t="n">
        <v>0</v>
      </c>
      <c r="D90" s="10" t="n">
        <v>62</v>
      </c>
      <c r="E90" s="14"/>
      <c r="F90" s="14"/>
      <c r="G90" s="11" t="s">
        <v>521</v>
      </c>
      <c r="H90" s="12" t="s">
        <v>522</v>
      </c>
      <c r="I90" s="13" t="str">
        <f aca="false">TRIM(IF(AND(E90&lt;&gt;"",LEN(E90)&lt;&gt;4),"宜不是4字 ","")&amp;IF(AND(G90&lt;&gt;"",LEN(G90)&lt;&gt;4),"忌不是4字 ","")&amp;IF(LEN(F90)&gt;26,"宜英文偏长 ","")&amp;IF(LEN(H90)&gt;26,"忌英文偏长",""))</f>
        <v/>
      </c>
    </row>
    <row r="91" customFormat="false" ht="15" hidden="false" customHeight="false" outlineLevel="0" collapsed="false">
      <c r="A91" s="8" t="s">
        <v>523</v>
      </c>
      <c r="B91" s="9" t="s">
        <v>524</v>
      </c>
      <c r="C91" s="10" t="n">
        <v>23</v>
      </c>
      <c r="D91" s="10" t="n">
        <v>38</v>
      </c>
      <c r="E91" s="11" t="s">
        <v>525</v>
      </c>
      <c r="F91" s="12" t="s">
        <v>526</v>
      </c>
      <c r="G91" s="11" t="s">
        <v>527</v>
      </c>
      <c r="H91" s="12" t="s">
        <v>528</v>
      </c>
      <c r="I91" s="13" t="str">
        <f aca="false">TRIM(IF(AND(E91&lt;&gt;"",LEN(E91)&lt;&gt;4),"宜不是4字 ","")&amp;IF(AND(G91&lt;&gt;"",LEN(G91)&lt;&gt;4),"忌不是4字 ","")&amp;IF(LEN(F91)&gt;26,"宜英文偏长 ","")&amp;IF(LEN(H91)&gt;26,"忌英文偏长",""))</f>
        <v/>
      </c>
    </row>
    <row r="92" customFormat="false" ht="15" hidden="false" customHeight="false" outlineLevel="0" collapsed="false">
      <c r="A92" s="8" t="s">
        <v>529</v>
      </c>
      <c r="B92" s="9" t="s">
        <v>530</v>
      </c>
      <c r="C92" s="10" t="n">
        <v>56</v>
      </c>
      <c r="D92" s="10" t="n">
        <v>3</v>
      </c>
      <c r="E92" s="11" t="s">
        <v>531</v>
      </c>
      <c r="F92" s="12" t="s">
        <v>532</v>
      </c>
      <c r="G92" s="11" t="s">
        <v>533</v>
      </c>
      <c r="H92" s="12" t="s">
        <v>534</v>
      </c>
      <c r="I92" s="13" t="str">
        <f aca="false">TRIM(IF(AND(E92&lt;&gt;"",LEN(E92)&lt;&gt;4),"宜不是4字 ","")&amp;IF(AND(G92&lt;&gt;"",LEN(G92)&lt;&gt;4),"忌不是4字 ","")&amp;IF(LEN(F92)&gt;26,"宜英文偏长 ","")&amp;IF(LEN(H92)&gt;26,"忌英文偏长",""))</f>
        <v/>
      </c>
    </row>
    <row r="93" customFormat="false" ht="15" hidden="false" customHeight="false" outlineLevel="0" collapsed="false">
      <c r="A93" s="8" t="s">
        <v>535</v>
      </c>
      <c r="B93" s="9" t="s">
        <v>536</v>
      </c>
      <c r="C93" s="10" t="n">
        <v>55</v>
      </c>
      <c r="D93" s="10" t="n">
        <v>0</v>
      </c>
      <c r="E93" s="11" t="s">
        <v>537</v>
      </c>
      <c r="F93" s="12" t="s">
        <v>538</v>
      </c>
      <c r="G93" s="14"/>
      <c r="H93" s="14"/>
      <c r="I93" s="13" t="str">
        <f aca="false">TRIM(IF(AND(E93&lt;&gt;"",LEN(E93)&lt;&gt;4),"宜不是4字 ","")&amp;IF(AND(G93&lt;&gt;"",LEN(G93)&lt;&gt;4),"忌不是4字 ","")&amp;IF(LEN(F93)&gt;26,"宜英文偏长 ","")&amp;IF(LEN(H93)&gt;26,"忌英文偏长",""))</f>
        <v/>
      </c>
    </row>
    <row r="94" customFormat="false" ht="15" hidden="false" customHeight="false" outlineLevel="0" collapsed="false">
      <c r="A94" s="8" t="s">
        <v>539</v>
      </c>
      <c r="B94" s="9" t="s">
        <v>540</v>
      </c>
      <c r="C94" s="10" t="n">
        <v>0</v>
      </c>
      <c r="D94" s="10" t="n">
        <v>55</v>
      </c>
      <c r="E94" s="14"/>
      <c r="F94" s="14"/>
      <c r="G94" s="11" t="s">
        <v>541</v>
      </c>
      <c r="H94" s="12" t="s">
        <v>542</v>
      </c>
      <c r="I94" s="13" t="str">
        <f aca="false">TRIM(IF(AND(E94&lt;&gt;"",LEN(E94)&lt;&gt;4),"宜不是4字 ","")&amp;IF(AND(G94&lt;&gt;"",LEN(G94)&lt;&gt;4),"忌不是4字 ","")&amp;IF(LEN(F94)&gt;26,"宜英文偏长 ","")&amp;IF(LEN(H94)&gt;26,"忌英文偏长",""))</f>
        <v/>
      </c>
    </row>
    <row r="95" customFormat="false" ht="15" hidden="false" customHeight="false" outlineLevel="0" collapsed="false">
      <c r="A95" s="8" t="s">
        <v>543</v>
      </c>
      <c r="B95" s="9" t="s">
        <v>544</v>
      </c>
      <c r="C95" s="10" t="n">
        <v>32</v>
      </c>
      <c r="D95" s="10" t="n">
        <v>22</v>
      </c>
      <c r="E95" s="11" t="s">
        <v>545</v>
      </c>
      <c r="F95" s="12" t="s">
        <v>546</v>
      </c>
      <c r="G95" s="11" t="s">
        <v>547</v>
      </c>
      <c r="H95" s="12" t="s">
        <v>548</v>
      </c>
      <c r="I95" s="13" t="str">
        <f aca="false">TRIM(IF(AND(E95&lt;&gt;"",LEN(E95)&lt;&gt;4),"宜不是4字 ","")&amp;IF(AND(G95&lt;&gt;"",LEN(G95)&lt;&gt;4),"忌不是4字 ","")&amp;IF(LEN(F95)&gt;26,"宜英文偏长 ","")&amp;IF(LEN(H95)&gt;26,"忌英文偏长",""))</f>
        <v/>
      </c>
    </row>
    <row r="96" customFormat="false" ht="15" hidden="false" customHeight="false" outlineLevel="0" collapsed="false">
      <c r="A96" s="8" t="s">
        <v>549</v>
      </c>
      <c r="B96" s="9" t="s">
        <v>550</v>
      </c>
      <c r="C96" s="10" t="n">
        <v>44</v>
      </c>
      <c r="D96" s="10" t="n">
        <v>5</v>
      </c>
      <c r="E96" s="11" t="s">
        <v>551</v>
      </c>
      <c r="F96" s="12" t="s">
        <v>552</v>
      </c>
      <c r="G96" s="11" t="s">
        <v>553</v>
      </c>
      <c r="H96" s="12" t="s">
        <v>554</v>
      </c>
      <c r="I96" s="13" t="str">
        <f aca="false">TRIM(IF(AND(E96&lt;&gt;"",LEN(E96)&lt;&gt;4),"宜不是4字 ","")&amp;IF(AND(G96&lt;&gt;"",LEN(G96)&lt;&gt;4),"忌不是4字 ","")&amp;IF(LEN(F96)&gt;26,"宜英文偏长 ","")&amp;IF(LEN(H96)&gt;26,"忌英文偏长",""))</f>
        <v/>
      </c>
    </row>
    <row r="97" customFormat="false" ht="15" hidden="false" customHeight="false" outlineLevel="0" collapsed="false">
      <c r="A97" s="8" t="s">
        <v>555</v>
      </c>
      <c r="B97" s="9" t="s">
        <v>556</v>
      </c>
      <c r="C97" s="10" t="n">
        <v>23</v>
      </c>
      <c r="D97" s="10" t="n">
        <v>22</v>
      </c>
      <c r="E97" s="11" t="s">
        <v>557</v>
      </c>
      <c r="F97" s="12" t="s">
        <v>558</v>
      </c>
      <c r="G97" s="11" t="s">
        <v>559</v>
      </c>
      <c r="H97" s="12" t="s">
        <v>560</v>
      </c>
      <c r="I97" s="13" t="str">
        <f aca="false">TRIM(IF(AND(E97&lt;&gt;"",LEN(E97)&lt;&gt;4),"宜不是4字 ","")&amp;IF(AND(G97&lt;&gt;"",LEN(G97)&lt;&gt;4),"忌不是4字 ","")&amp;IF(LEN(F97)&gt;26,"宜英文偏长 ","")&amp;IF(LEN(H97)&gt;26,"忌英文偏长",""))</f>
        <v/>
      </c>
    </row>
    <row r="98" customFormat="false" ht="15" hidden="false" customHeight="false" outlineLevel="0" collapsed="false">
      <c r="A98" s="8" t="s">
        <v>561</v>
      </c>
      <c r="B98" s="9" t="s">
        <v>562</v>
      </c>
      <c r="C98" s="10" t="n">
        <v>45</v>
      </c>
      <c r="D98" s="10" t="n">
        <v>0</v>
      </c>
      <c r="E98" s="11" t="s">
        <v>563</v>
      </c>
      <c r="F98" s="12" t="s">
        <v>564</v>
      </c>
      <c r="G98" s="14"/>
      <c r="H98" s="14"/>
      <c r="I98" s="13" t="str">
        <f aca="false">TRIM(IF(AND(E98&lt;&gt;"",LEN(E98)&lt;&gt;4),"宜不是4字 ","")&amp;IF(AND(G98&lt;&gt;"",LEN(G98)&lt;&gt;4),"忌不是4字 ","")&amp;IF(LEN(F98)&gt;26,"宜英文偏长 ","")&amp;IF(LEN(H98)&gt;26,"忌英文偏长",""))</f>
        <v/>
      </c>
    </row>
    <row r="99" customFormat="false" ht="15" hidden="false" customHeight="false" outlineLevel="0" collapsed="false">
      <c r="A99" s="8" t="s">
        <v>565</v>
      </c>
      <c r="B99" s="9" t="s">
        <v>566</v>
      </c>
      <c r="C99" s="10" t="n">
        <v>41</v>
      </c>
      <c r="D99" s="10" t="n">
        <v>4</v>
      </c>
      <c r="E99" s="11" t="s">
        <v>567</v>
      </c>
      <c r="F99" s="12" t="s">
        <v>568</v>
      </c>
      <c r="G99" s="11" t="s">
        <v>569</v>
      </c>
      <c r="H99" s="12" t="s">
        <v>570</v>
      </c>
      <c r="I99" s="13" t="str">
        <f aca="false">TRIM(IF(AND(E99&lt;&gt;"",LEN(E99)&lt;&gt;4),"宜不是4字 ","")&amp;IF(AND(G99&lt;&gt;"",LEN(G99)&lt;&gt;4),"忌不是4字 ","")&amp;IF(LEN(F99)&gt;26,"宜英文偏长 ","")&amp;IF(LEN(H99)&gt;26,"忌英文偏长",""))</f>
        <v/>
      </c>
    </row>
    <row r="100" customFormat="false" ht="15" hidden="false" customHeight="false" outlineLevel="0" collapsed="false">
      <c r="A100" s="8" t="s">
        <v>571</v>
      </c>
      <c r="B100" s="9" t="s">
        <v>572</v>
      </c>
      <c r="C100" s="10" t="n">
        <v>42</v>
      </c>
      <c r="D100" s="10" t="n">
        <v>0</v>
      </c>
      <c r="E100" s="11" t="s">
        <v>573</v>
      </c>
      <c r="F100" s="12" t="s">
        <v>574</v>
      </c>
      <c r="G100" s="14"/>
      <c r="H100" s="14"/>
      <c r="I100" s="13" t="str">
        <f aca="false">TRIM(IF(AND(E100&lt;&gt;"",LEN(E100)&lt;&gt;4),"宜不是4字 ","")&amp;IF(AND(G100&lt;&gt;"",LEN(G100)&lt;&gt;4),"忌不是4字 ","")&amp;IF(LEN(F100)&gt;26,"宜英文偏长 ","")&amp;IF(LEN(H100)&gt;26,"忌英文偏长",""))</f>
        <v/>
      </c>
    </row>
    <row r="101" customFormat="false" ht="15" hidden="false" customHeight="false" outlineLevel="0" collapsed="false">
      <c r="A101" s="8" t="s">
        <v>575</v>
      </c>
      <c r="B101" s="9" t="s">
        <v>576</v>
      </c>
      <c r="C101" s="10" t="n">
        <v>40</v>
      </c>
      <c r="D101" s="10" t="n">
        <v>0</v>
      </c>
      <c r="E101" s="11" t="s">
        <v>577</v>
      </c>
      <c r="F101" s="12" t="s">
        <v>578</v>
      </c>
      <c r="G101" s="14"/>
      <c r="H101" s="14"/>
      <c r="I101" s="13" t="str">
        <f aca="false">TRIM(IF(AND(E101&lt;&gt;"",LEN(E101)&lt;&gt;4),"宜不是4字 ","")&amp;IF(AND(G101&lt;&gt;"",LEN(G101)&lt;&gt;4),"忌不是4字 ","")&amp;IF(LEN(F101)&gt;26,"宜英文偏长 ","")&amp;IF(LEN(H101)&gt;26,"忌英文偏长",""))</f>
        <v/>
      </c>
    </row>
    <row r="102" customFormat="false" ht="15" hidden="false" customHeight="false" outlineLevel="0" collapsed="false">
      <c r="A102" s="8" t="s">
        <v>579</v>
      </c>
      <c r="B102" s="9" t="s">
        <v>579</v>
      </c>
      <c r="C102" s="10" t="n">
        <v>36</v>
      </c>
      <c r="D102" s="10" t="n">
        <v>0</v>
      </c>
      <c r="E102" s="11" t="s">
        <v>580</v>
      </c>
      <c r="F102" s="12" t="s">
        <v>581</v>
      </c>
      <c r="G102" s="14"/>
      <c r="H102" s="14"/>
      <c r="I102" s="13" t="str">
        <f aca="false">TRIM(IF(AND(E102&lt;&gt;"",LEN(E102)&lt;&gt;4),"宜不是4字 ","")&amp;IF(AND(G102&lt;&gt;"",LEN(G102)&lt;&gt;4),"忌不是4字 ","")&amp;IF(LEN(F102)&gt;26,"宜英文偏长 ","")&amp;IF(LEN(H102)&gt;26,"忌英文偏长",""))</f>
        <v/>
      </c>
    </row>
    <row r="103" customFormat="false" ht="15" hidden="false" customHeight="false" outlineLevel="0" collapsed="false">
      <c r="A103" s="8" t="s">
        <v>582</v>
      </c>
      <c r="B103" s="9" t="s">
        <v>583</v>
      </c>
      <c r="C103" s="10" t="n">
        <v>29</v>
      </c>
      <c r="D103" s="10" t="n">
        <v>0</v>
      </c>
      <c r="E103" s="11" t="s">
        <v>584</v>
      </c>
      <c r="F103" s="12" t="s">
        <v>585</v>
      </c>
      <c r="G103" s="14"/>
      <c r="H103" s="14"/>
      <c r="I103" s="13" t="str">
        <f aca="false">TRIM(IF(AND(E103&lt;&gt;"",LEN(E103)&lt;&gt;4),"宜不是4字 ","")&amp;IF(AND(G103&lt;&gt;"",LEN(G103)&lt;&gt;4),"忌不是4字 ","")&amp;IF(LEN(F103)&gt;26,"宜英文偏长 ","")&amp;IF(LEN(H103)&gt;26,"忌英文偏长",""))</f>
        <v/>
      </c>
    </row>
    <row r="104" customFormat="false" ht="15" hidden="false" customHeight="false" outlineLevel="0" collapsed="false">
      <c r="A104" s="8" t="s">
        <v>586</v>
      </c>
      <c r="B104" s="9" t="s">
        <v>587</v>
      </c>
      <c r="C104" s="10" t="n">
        <v>26</v>
      </c>
      <c r="D104" s="10" t="n">
        <v>0</v>
      </c>
      <c r="E104" s="11" t="s">
        <v>588</v>
      </c>
      <c r="F104" s="12" t="s">
        <v>589</v>
      </c>
      <c r="G104" s="14"/>
      <c r="H104" s="14"/>
      <c r="I104" s="13" t="str">
        <f aca="false">TRIM(IF(AND(E104&lt;&gt;"",LEN(E104)&lt;&gt;4),"宜不是4字 ","")&amp;IF(AND(G104&lt;&gt;"",LEN(G104)&lt;&gt;4),"忌不是4字 ","")&amp;IF(LEN(F104)&gt;26,"宜英文偏长 ","")&amp;IF(LEN(H104)&gt;26,"忌英文偏长",""))</f>
        <v/>
      </c>
    </row>
    <row r="105" customFormat="false" ht="15" hidden="false" customHeight="false" outlineLevel="0" collapsed="false">
      <c r="A105" s="8" t="s">
        <v>590</v>
      </c>
      <c r="B105" s="9" t="s">
        <v>591</v>
      </c>
      <c r="C105" s="10" t="n">
        <v>26</v>
      </c>
      <c r="D105" s="10" t="n">
        <v>0</v>
      </c>
      <c r="E105" s="11" t="s">
        <v>592</v>
      </c>
      <c r="F105" s="12" t="s">
        <v>593</v>
      </c>
      <c r="G105" s="14"/>
      <c r="H105" s="14"/>
      <c r="I105" s="13" t="str">
        <f aca="false">TRIM(IF(AND(E105&lt;&gt;"",LEN(E105)&lt;&gt;4),"宜不是4字 ","")&amp;IF(AND(G105&lt;&gt;"",LEN(G105)&lt;&gt;4),"忌不是4字 ","")&amp;IF(LEN(F105)&gt;26,"宜英文偏长 ","")&amp;IF(LEN(H105)&gt;26,"忌英文偏长",""))</f>
        <v/>
      </c>
    </row>
    <row r="106" customFormat="false" ht="15" hidden="false" customHeight="false" outlineLevel="0" collapsed="false">
      <c r="A106" s="8" t="s">
        <v>594</v>
      </c>
      <c r="B106" s="9" t="s">
        <v>595</v>
      </c>
      <c r="C106" s="10" t="n">
        <v>21</v>
      </c>
      <c r="D106" s="10" t="n">
        <v>4</v>
      </c>
      <c r="E106" s="11" t="s">
        <v>596</v>
      </c>
      <c r="F106" s="12" t="s">
        <v>597</v>
      </c>
      <c r="G106" s="11" t="s">
        <v>598</v>
      </c>
      <c r="H106" s="12" t="s">
        <v>599</v>
      </c>
      <c r="I106" s="13" t="str">
        <f aca="false">TRIM(IF(AND(E106&lt;&gt;"",LEN(E106)&lt;&gt;4),"宜不是4字 ","")&amp;IF(AND(G106&lt;&gt;"",LEN(G106)&lt;&gt;4),"忌不是4字 ","")&amp;IF(LEN(F106)&gt;26,"宜英文偏长 ","")&amp;IF(LEN(H106)&gt;26,"忌英文偏长",""))</f>
        <v/>
      </c>
    </row>
    <row r="107" customFormat="false" ht="15" hidden="false" customHeight="false" outlineLevel="0" collapsed="false">
      <c r="A107" s="8" t="s">
        <v>600</v>
      </c>
      <c r="B107" s="9" t="s">
        <v>601</v>
      </c>
      <c r="C107" s="10" t="n">
        <v>17</v>
      </c>
      <c r="D107" s="10" t="n">
        <v>0</v>
      </c>
      <c r="E107" s="11" t="s">
        <v>602</v>
      </c>
      <c r="F107" s="12" t="s">
        <v>603</v>
      </c>
      <c r="G107" s="14"/>
      <c r="H107" s="14"/>
      <c r="I107" s="13" t="str">
        <f aca="false">TRIM(IF(AND(E107&lt;&gt;"",LEN(E107)&lt;&gt;4),"宜不是4字 ","")&amp;IF(AND(G107&lt;&gt;"",LEN(G107)&lt;&gt;4),"忌不是4字 ","")&amp;IF(LEN(F107)&gt;26,"宜英文偏长 ","")&amp;IF(LEN(H107)&gt;26,"忌英文偏长",""))</f>
        <v/>
      </c>
    </row>
    <row r="108" customFormat="false" ht="15" hidden="false" customHeight="false" outlineLevel="0" collapsed="false">
      <c r="A108" s="8" t="s">
        <v>604</v>
      </c>
      <c r="B108" s="9" t="s">
        <v>605</v>
      </c>
      <c r="C108" s="10" t="n">
        <v>14</v>
      </c>
      <c r="D108" s="10" t="n">
        <v>0</v>
      </c>
      <c r="E108" s="11" t="s">
        <v>606</v>
      </c>
      <c r="F108" s="12" t="s">
        <v>607</v>
      </c>
      <c r="G108" s="14"/>
      <c r="H108" s="14"/>
      <c r="I108" s="13" t="str">
        <f aca="false">TRIM(IF(AND(E108&lt;&gt;"",LEN(E108)&lt;&gt;4),"宜不是4字 ","")&amp;IF(AND(G108&lt;&gt;"",LEN(G108)&lt;&gt;4),"忌不是4字 ","")&amp;IF(LEN(F108)&gt;26,"宜英文偏长 ","")&amp;IF(LEN(H108)&gt;26,"忌英文偏长",""))</f>
        <v/>
      </c>
    </row>
    <row r="109" customFormat="false" ht="15" hidden="false" customHeight="false" outlineLevel="0" collapsed="false">
      <c r="A109" s="8" t="s">
        <v>608</v>
      </c>
      <c r="B109" s="9" t="s">
        <v>609</v>
      </c>
      <c r="C109" s="10" t="n">
        <v>13</v>
      </c>
      <c r="D109" s="10" t="n">
        <v>0</v>
      </c>
      <c r="E109" s="11" t="s">
        <v>610</v>
      </c>
      <c r="F109" s="12" t="s">
        <v>611</v>
      </c>
      <c r="G109" s="14"/>
      <c r="H109" s="14"/>
      <c r="I109" s="13" t="str">
        <f aca="false">TRIM(IF(AND(E109&lt;&gt;"",LEN(E109)&lt;&gt;4),"宜不是4字 ","")&amp;IF(AND(G109&lt;&gt;"",LEN(G109)&lt;&gt;4),"忌不是4字 ","")&amp;IF(LEN(F109)&gt;26,"宜英文偏长 ","")&amp;IF(LEN(H109)&gt;26,"忌英文偏长",""))</f>
        <v/>
      </c>
    </row>
    <row r="110" customFormat="false" ht="15" hidden="false" customHeight="false" outlineLevel="0" collapsed="false">
      <c r="A110" s="8" t="s">
        <v>612</v>
      </c>
      <c r="B110" s="9" t="s">
        <v>613</v>
      </c>
      <c r="C110" s="10" t="n">
        <v>3</v>
      </c>
      <c r="D110" s="10" t="n">
        <v>7</v>
      </c>
      <c r="E110" s="11" t="s">
        <v>614</v>
      </c>
      <c r="F110" s="12" t="s">
        <v>615</v>
      </c>
      <c r="G110" s="11" t="s">
        <v>616</v>
      </c>
      <c r="H110" s="12" t="s">
        <v>617</v>
      </c>
      <c r="I110" s="13" t="str">
        <f aca="false">TRIM(IF(AND(E110&lt;&gt;"",LEN(E110)&lt;&gt;4),"宜不是4字 ","")&amp;IF(AND(G110&lt;&gt;"",LEN(G110)&lt;&gt;4),"忌不是4字 ","")&amp;IF(LEN(F110)&gt;26,"宜英文偏长 ","")&amp;IF(LEN(H110)&gt;26,"忌英文偏长",""))</f>
        <v/>
      </c>
    </row>
    <row r="111" customFormat="false" ht="15" hidden="false" customHeight="false" outlineLevel="0" collapsed="false">
      <c r="A111" s="8" t="s">
        <v>618</v>
      </c>
      <c r="B111" s="9" t="s">
        <v>619</v>
      </c>
      <c r="C111" s="10" t="n">
        <v>6</v>
      </c>
      <c r="D111" s="10" t="n">
        <v>0</v>
      </c>
      <c r="E111" s="11" t="s">
        <v>620</v>
      </c>
      <c r="F111" s="12" t="s">
        <v>621</v>
      </c>
      <c r="G111" s="14"/>
      <c r="H111" s="14"/>
      <c r="I111" s="13" t="str">
        <f aca="false">TRIM(IF(AND(E111&lt;&gt;"",LEN(E111)&lt;&gt;4),"宜不是4字 ","")&amp;IF(AND(G111&lt;&gt;"",LEN(G111)&lt;&gt;4),"忌不是4字 ","")&amp;IF(LEN(F111)&gt;26,"宜英文偏长 ","")&amp;IF(LEN(H111)&gt;26,"忌英文偏长",""))</f>
        <v/>
      </c>
    </row>
    <row r="112" customFormat="false" ht="15" hidden="false" customHeight="false" outlineLevel="0" collapsed="false">
      <c r="A112" s="8" t="s">
        <v>622</v>
      </c>
      <c r="B112" s="9" t="s">
        <v>623</v>
      </c>
      <c r="C112" s="10" t="n">
        <v>4</v>
      </c>
      <c r="D112" s="10" t="n">
        <v>0</v>
      </c>
      <c r="E112" s="11" t="s">
        <v>624</v>
      </c>
      <c r="F112" s="12" t="s">
        <v>625</v>
      </c>
      <c r="G112" s="14"/>
      <c r="H112" s="14"/>
      <c r="I112" s="13" t="str">
        <f aca="false">TRIM(IF(AND(E112&lt;&gt;"",LEN(E112)&lt;&gt;4),"宜不是4字 ","")&amp;IF(AND(G112&lt;&gt;"",LEN(G112)&lt;&gt;4),"忌不是4字 ","")&amp;IF(LEN(F112)&gt;26,"宜英文偏长 ","")&amp;IF(LEN(H112)&gt;26,"忌英文偏长",""))</f>
        <v/>
      </c>
    </row>
    <row r="113" customFormat="false" ht="15" hidden="false" customHeight="false" outlineLevel="0" collapsed="false">
      <c r="A113" s="8" t="s">
        <v>626</v>
      </c>
      <c r="B113" s="9" t="s">
        <v>627</v>
      </c>
      <c r="C113" s="10" t="n">
        <v>3</v>
      </c>
      <c r="D113" s="10" t="n">
        <v>0</v>
      </c>
      <c r="E113" s="11" t="s">
        <v>628</v>
      </c>
      <c r="F113" s="12" t="s">
        <v>629</v>
      </c>
      <c r="G113" s="14"/>
      <c r="H113" s="14"/>
      <c r="I113" s="13" t="str">
        <f aca="false">TRIM(IF(AND(E113&lt;&gt;"",LEN(E113)&lt;&gt;4),"宜不是4字 ","")&amp;IF(AND(G113&lt;&gt;"",LEN(G113)&lt;&gt;4),"忌不是4字 ","")&amp;IF(LEN(F113)&gt;26,"宜英文偏长 ","")&amp;IF(LEN(H113)&gt;26,"忌英文偏长",""))</f>
        <v/>
      </c>
    </row>
    <row r="114" customFormat="false" ht="15" hidden="false" customHeight="false" outlineLevel="0" collapsed="false">
      <c r="A114" s="8" t="s">
        <v>630</v>
      </c>
      <c r="B114" s="9" t="s">
        <v>631</v>
      </c>
      <c r="C114" s="10" t="n">
        <v>1</v>
      </c>
      <c r="D114" s="10" t="n">
        <v>0</v>
      </c>
      <c r="E114" s="11" t="s">
        <v>632</v>
      </c>
      <c r="F114" s="12" t="s">
        <v>633</v>
      </c>
      <c r="G114" s="14"/>
      <c r="H114" s="14"/>
      <c r="I114" s="13" t="str">
        <f aca="false">TRIM(IF(AND(E114&lt;&gt;"",LEN(E114)&lt;&gt;4),"宜不是4字 ","")&amp;IF(AND(G114&lt;&gt;"",LEN(G114)&lt;&gt;4),"忌不是4字 ","")&amp;IF(LEN(F114)&gt;26,"宜英文偏长 ","")&amp;IF(LEN(H114)&gt;26,"忌英文偏长",""))</f>
        <v/>
      </c>
    </row>
    <row r="115" customFormat="false" ht="15" hidden="false" customHeight="false" outlineLevel="0" collapsed="false">
      <c r="A115" s="8" t="s">
        <v>634</v>
      </c>
      <c r="B115" s="9" t="s">
        <v>635</v>
      </c>
      <c r="C115" s="10" t="n">
        <v>0</v>
      </c>
      <c r="D115" s="10" t="n">
        <v>1</v>
      </c>
      <c r="E115" s="14"/>
      <c r="F115" s="14"/>
      <c r="G115" s="11" t="s">
        <v>636</v>
      </c>
      <c r="H115" s="12" t="s">
        <v>637</v>
      </c>
      <c r="I115" s="13" t="str">
        <f aca="false">TRIM(IF(AND(E115&lt;&gt;"",LEN(E115)&lt;&gt;4),"宜不是4字 ","")&amp;IF(AND(G115&lt;&gt;"",LEN(G115)&lt;&gt;4),"忌不是4字 ","")&amp;IF(LEN(F115)&gt;26,"宜英文偏长 ","")&amp;IF(LEN(H115)&gt;26,"忌英文偏长",""))</f>
        <v/>
      </c>
    </row>
  </sheetData>
  <autoFilter ref="A1:I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30" hidden="false" customHeight="true" outlineLevel="0" collapsed="false">
      <c r="A1" s="6" t="s">
        <v>638</v>
      </c>
      <c r="B1" s="6" t="s">
        <v>639</v>
      </c>
      <c r="C1" s="6" t="s">
        <v>640</v>
      </c>
      <c r="D1" s="6" t="s">
        <v>641</v>
      </c>
      <c r="E1" s="7" t="s">
        <v>25</v>
      </c>
      <c r="F1" s="7" t="s">
        <v>26</v>
      </c>
      <c r="G1" s="6" t="s">
        <v>642</v>
      </c>
      <c r="H1" s="7" t="s">
        <v>27</v>
      </c>
      <c r="I1" s="7" t="s">
        <v>28</v>
      </c>
    </row>
    <row r="2" customFormat="false" ht="15" hidden="false" customHeight="false" outlineLevel="0" collapsed="false">
      <c r="A2" s="15" t="n">
        <v>46311</v>
      </c>
      <c r="B2" s="9" t="str">
        <f aca="false">"周"&amp;CHOOSE(WEEKDAY(A2),"日","一","二","三","四","五","六")</f>
        <v>周五</v>
      </c>
      <c r="C2" s="9" t="s">
        <v>643</v>
      </c>
      <c r="D2" s="9" t="s">
        <v>565</v>
      </c>
      <c r="E2" s="8" t="str">
        <f aca="false">IFERROR(INDEX(词典!$E$2:$E$115,MATCH(D2,词典!$A$2:$A$115,0)),"")</f>
        <v>静听雨声</v>
      </c>
      <c r="F2" s="10" t="str">
        <f aca="false">IFERROR(INDEX(词典!$F$2:$F$115,MATCH(D2,词典!$A$2:$A$115,0)),"")</f>
        <v>Listen to the rain</v>
      </c>
      <c r="G2" s="9" t="s">
        <v>30</v>
      </c>
      <c r="H2" s="8" t="str">
        <f aca="false">IFERROR(INDEX(词典!$G$2:$G$115,MATCH(G2,词典!$A$2:$A$115,0)),"")</f>
        <v>埋头苦干</v>
      </c>
      <c r="I2" s="10" t="str">
        <f aca="false">IFERROR(INDEX(词典!$H$2:$H$115,MATCH(G2,词典!$A$2:$A$115,0)),"")</f>
        <v>Bury yourself in work</v>
      </c>
    </row>
    <row r="3" customFormat="false" ht="15" hidden="false" customHeight="false" outlineLevel="0" collapsed="false">
      <c r="A3" s="15" t="n">
        <v>46312</v>
      </c>
      <c r="B3" s="9" t="str">
        <f aca="false">"周"&amp;CHOOSE(WEEKDAY(A3),"日","一","二","三","四","五","六")</f>
        <v>周六</v>
      </c>
      <c r="C3" s="9" t="s">
        <v>644</v>
      </c>
      <c r="D3" s="9" t="s">
        <v>304</v>
      </c>
      <c r="E3" s="8" t="str">
        <f aca="false">IFERROR(INDEX(词典!$E$2:$E$115,MATCH(D3,词典!$A$2:$A$115,0)),"")</f>
        <v>剪个头发</v>
      </c>
      <c r="F3" s="10" t="str">
        <f aca="false">IFERROR(INDEX(词典!$F$2:$F$115,MATCH(D3,词典!$A$2:$A$115,0)),"")</f>
        <v>Get a haircut</v>
      </c>
      <c r="G3" s="9" t="s">
        <v>48</v>
      </c>
      <c r="H3" s="8" t="str">
        <f aca="false">IFERROR(INDEX(词典!$G$2:$G$115,MATCH(G3,词典!$A$2:$A$115,0)),"")</f>
        <v>与人攀比</v>
      </c>
      <c r="I3" s="10" t="str">
        <f aca="false">IFERROR(INDEX(词典!$H$2:$H$115,MATCH(G3,词典!$A$2:$A$115,0)),"")</f>
        <v>Compare yourself</v>
      </c>
    </row>
    <row r="4" customFormat="false" ht="15" hidden="false" customHeight="false" outlineLevel="0" collapsed="false">
      <c r="A4" s="15" t="n">
        <v>46313</v>
      </c>
      <c r="B4" s="9" t="str">
        <f aca="false">"周"&amp;CHOOSE(WEEKDAY(A4),"日","一","二","三","四","五","六")</f>
        <v>周日</v>
      </c>
      <c r="C4" s="9" t="s">
        <v>645</v>
      </c>
      <c r="D4" s="9" t="s">
        <v>342</v>
      </c>
      <c r="E4" s="8" t="str">
        <f aca="false">IFERROR(INDEX(词典!$E$2:$E$115,MATCH(D4,词典!$A$2:$A$115,0)),"")</f>
        <v>布置小窝</v>
      </c>
      <c r="F4" s="10" t="str">
        <f aca="false">IFERROR(INDEX(词典!$F$2:$F$115,MATCH(D4,词典!$A$2:$A$115,0)),"")</f>
        <v>Make your corner cozy</v>
      </c>
      <c r="G4" s="9" t="s">
        <v>36</v>
      </c>
      <c r="H4" s="8" t="str">
        <f aca="false">IFERROR(INDEX(词典!$G$2:$G$115,MATCH(G4,词典!$A$2:$A$115,0)),"")</f>
        <v>一口答应</v>
      </c>
      <c r="I4" s="10" t="str">
        <f aca="false">IFERROR(INDEX(词典!$H$2:$H$115,MATCH(G4,词典!$A$2:$A$115,0)),"")</f>
        <v>Say yes to everything</v>
      </c>
    </row>
    <row r="5" customFormat="false" ht="15" hidden="false" customHeight="false" outlineLevel="0" collapsed="false">
      <c r="A5" s="15" t="n">
        <v>46314</v>
      </c>
      <c r="B5" s="9" t="str">
        <f aca="false">"周"&amp;CHOOSE(WEEKDAY(A5),"日","一","二","三","四","五","六")</f>
        <v>周一</v>
      </c>
      <c r="C5" s="9" t="s">
        <v>646</v>
      </c>
      <c r="D5" s="9" t="s">
        <v>66</v>
      </c>
      <c r="E5" s="8" t="str">
        <f aca="false">IFERROR(INDEX(词典!$E$2:$E$115,MATCH(D5,词典!$A$2:$A$115,0)),"")</f>
        <v>种点花草</v>
      </c>
      <c r="F5" s="10" t="str">
        <f aca="false">IFERROR(INDEX(词典!$F$2:$F$115,MATCH(D5,词典!$A$2:$A$115,0)),"")</f>
        <v>Plant something</v>
      </c>
      <c r="G5" s="9" t="s">
        <v>400</v>
      </c>
      <c r="H5" s="8" t="str">
        <f aca="false">IFERROR(INDEX(词典!$G$2:$G$115,MATCH(G5,词典!$A$2:$A$115,0)),"")</f>
        <v>贪多求快</v>
      </c>
      <c r="I5" s="10" t="str">
        <f aca="false">IFERROR(INDEX(词典!$H$2:$H$115,MATCH(G5,词典!$A$2:$A$115,0)),"")</f>
        <v>Rush for more</v>
      </c>
    </row>
    <row r="6" customFormat="false" ht="15" hidden="false" customHeight="false" outlineLevel="0" collapsed="false">
      <c r="A6" s="15" t="n">
        <v>46315</v>
      </c>
      <c r="B6" s="9" t="str">
        <f aca="false">"周"&amp;CHOOSE(WEEKDAY(A6),"日","一","二","三","四","五","六")</f>
        <v>周二</v>
      </c>
      <c r="C6" s="9" t="s">
        <v>647</v>
      </c>
      <c r="D6" s="9" t="s">
        <v>78</v>
      </c>
      <c r="E6" s="8" t="str">
        <f aca="false">IFERROR(INDEX(词典!$E$2:$E$115,MATCH(D6,词典!$A$2:$A$115,0)),"")</f>
        <v>许个心愿</v>
      </c>
      <c r="F6" s="10" t="str">
        <f aca="false">IFERROR(INDEX(词典!$F$2:$F$115,MATCH(D6,词典!$A$2:$A$115,0)),"")</f>
        <v>Make a small wish</v>
      </c>
      <c r="G6" s="9" t="s">
        <v>84</v>
      </c>
      <c r="H6" s="8" t="str">
        <f aca="false">IFERROR(INDEX(词典!$G$2:$G$115,MATCH(G6,词典!$A$2:$A$115,0)),"")</f>
        <v>跳槽加薪</v>
      </c>
      <c r="I6" s="10" t="str">
        <f aca="false">IFERROR(INDEX(词典!$H$2:$H$115,MATCH(G6,词典!$A$2:$A$115,0)),"")</f>
        <v>Job-hop for a raise</v>
      </c>
    </row>
    <row r="7" customFormat="false" ht="15" hidden="false" customHeight="false" outlineLevel="0" collapsed="false">
      <c r="A7" s="15" t="n">
        <v>46316</v>
      </c>
      <c r="B7" s="9" t="str">
        <f aca="false">"周"&amp;CHOOSE(WEEKDAY(A7),"日","一","二","三","四","五","六")</f>
        <v>周三</v>
      </c>
      <c r="C7" s="9" t="s">
        <v>648</v>
      </c>
      <c r="D7" s="9" t="s">
        <v>386</v>
      </c>
      <c r="E7" s="8" t="str">
        <f aca="false">IFERROR(INDEX(词典!$E$2:$E$115,MATCH(D7,词典!$A$2:$A$115,0)),"")</f>
        <v>走出屋子</v>
      </c>
      <c r="F7" s="10" t="str">
        <f aca="false">IFERROR(INDEX(词典!$F$2:$F$115,MATCH(D7,词典!$A$2:$A$115,0)),"")</f>
        <v>Step outside</v>
      </c>
      <c r="G7" s="9" t="s">
        <v>132</v>
      </c>
      <c r="H7" s="8" t="str">
        <f aca="false">IFERROR(INDEX(词典!$G$2:$G$115,MATCH(G7,词典!$A$2:$A$115,0)),"")</f>
        <v>硬扛到底</v>
      </c>
      <c r="I7" s="10" t="str">
        <f aca="false">IFERROR(INDEX(词典!$H$2:$H$115,MATCH(G7,词典!$A$2:$A$115,0)),"")</f>
        <v>Tough it out alone</v>
      </c>
    </row>
    <row r="8" customFormat="false" ht="15" hidden="false" customHeight="false" outlineLevel="0" collapsed="false">
      <c r="A8" s="15" t="n">
        <v>46317</v>
      </c>
      <c r="B8" s="9" t="str">
        <f aca="false">"周"&amp;CHOOSE(WEEKDAY(A8),"日","一","二","三","四","五","六")</f>
        <v>周四</v>
      </c>
      <c r="C8" s="9" t="s">
        <v>649</v>
      </c>
      <c r="D8" s="9" t="s">
        <v>42</v>
      </c>
      <c r="E8" s="8" t="str">
        <f aca="false">IFERROR(INDEX(词典!$E$2:$E$115,MATCH(D8,词典!$A$2:$A$115,0)),"")</f>
        <v>打给爸妈</v>
      </c>
      <c r="F8" s="10" t="str">
        <f aca="false">IFERROR(INDEX(词典!$F$2:$F$115,MATCH(D8,词典!$A$2:$A$115,0)),"")</f>
        <v>Call your parents</v>
      </c>
      <c r="G8" s="9" t="s">
        <v>30</v>
      </c>
      <c r="H8" s="8" t="str">
        <f aca="false">IFERROR(INDEX(词典!$G$2:$G$115,MATCH(G8,词典!$A$2:$A$115,0)),"")</f>
        <v>埋头苦干</v>
      </c>
      <c r="I8" s="10" t="str">
        <f aca="false">IFERROR(INDEX(词典!$H$2:$H$115,MATCH(G8,词典!$A$2:$A$115,0)),"")</f>
        <v>Bury yourself in work</v>
      </c>
    </row>
    <row r="9" customFormat="false" ht="15" hidden="false" customHeight="false" outlineLevel="0" collapsed="false">
      <c r="A9" s="15" t="n">
        <v>46318</v>
      </c>
      <c r="B9" s="9" t="str">
        <f aca="false">"周"&amp;CHOOSE(WEEKDAY(A9),"日","一","二","三","四","五","六")</f>
        <v>周五</v>
      </c>
      <c r="C9" s="9" t="s">
        <v>650</v>
      </c>
      <c r="D9" s="9" t="s">
        <v>30</v>
      </c>
      <c r="E9" s="8" t="str">
        <f aca="false">IFERROR(INDEX(词典!$E$2:$E$115,MATCH(D9,词典!$A$2:$A$115,0)),"")</f>
        <v>放下旧事</v>
      </c>
      <c r="F9" s="10" t="str">
        <f aca="false">IFERROR(INDEX(词典!$F$2:$F$115,MATCH(D9,词典!$A$2:$A$115,0)),"")</f>
        <v>Let old things rest</v>
      </c>
      <c r="G9" s="9" t="s">
        <v>224</v>
      </c>
      <c r="H9" s="8" t="str">
        <f aca="false">IFERROR(INDEX(词典!$G$2:$G$115,MATCH(G9,词典!$A$2:$A$115,0)),"")</f>
        <v>规划十年</v>
      </c>
      <c r="I9" s="10" t="str">
        <f aca="false">IFERROR(INDEX(词典!$H$2:$H$115,MATCH(G9,词典!$A$2:$A$115,0)),"")</f>
        <v>Plan the next ten years</v>
      </c>
    </row>
    <row r="10" customFormat="false" ht="15" hidden="false" customHeight="false" outlineLevel="0" collapsed="false">
      <c r="A10" s="15" t="n">
        <v>46319</v>
      </c>
      <c r="B10" s="9" t="str">
        <f aca="false">"周"&amp;CHOOSE(WEEKDAY(A10),"日","一","二","三","四","五","六")</f>
        <v>周六</v>
      </c>
      <c r="C10" s="9" t="s">
        <v>651</v>
      </c>
      <c r="D10" s="9" t="s">
        <v>252</v>
      </c>
      <c r="E10" s="8" t="str">
        <f aca="false">IFERROR(INDEX(词典!$E$2:$E$115,MATCH(D10,词典!$A$2:$A$115,0)),"")</f>
        <v>收下好意</v>
      </c>
      <c r="F10" s="10" t="str">
        <f aca="false">IFERROR(INDEX(词典!$F$2:$F$115,MATCH(D10,词典!$A$2:$A$115,0)),"")</f>
        <v>Accept a kindness</v>
      </c>
      <c r="G10" s="9" t="s">
        <v>348</v>
      </c>
      <c r="H10" s="8" t="str">
        <f aca="false">IFERROR(INDEX(词典!$G$2:$G$115,MATCH(G10,词典!$A$2:$A$115,0)),"")</f>
        <v>竭泽而渔</v>
      </c>
      <c r="I10" s="10" t="str">
        <f aca="false">IFERROR(INDEX(词典!$H$2:$H$115,MATCH(G10,词典!$A$2:$A$115,0)),"")</f>
        <v>Drain the pond dry</v>
      </c>
    </row>
    <row r="11" customFormat="false" ht="15" hidden="false" customHeight="false" outlineLevel="0" collapsed="false">
      <c r="A11" s="15" t="n">
        <v>46320</v>
      </c>
      <c r="B11" s="9" t="str">
        <f aca="false">"周"&amp;CHOOSE(WEEKDAY(A11),"日","一","二","三","四","五","六")</f>
        <v>周日</v>
      </c>
      <c r="C11" s="9" t="s">
        <v>652</v>
      </c>
      <c r="D11" s="9" t="s">
        <v>364</v>
      </c>
      <c r="E11" s="8" t="str">
        <f aca="false">IFERROR(INDEX(词典!$E$2:$E$115,MATCH(D11,词典!$A$2:$A$115,0)),"")</f>
        <v>记下美事</v>
      </c>
      <c r="F11" s="10" t="str">
        <f aca="false">IFERROR(INDEX(词典!$F$2:$F$115,MATCH(D11,词典!$A$2:$A$115,0)),"")</f>
        <v>Note a good moment</v>
      </c>
      <c r="G11" s="9" t="s">
        <v>292</v>
      </c>
      <c r="H11" s="8" t="str">
        <f aca="false">IFERROR(INDEX(词典!$G$2:$G$115,MATCH(G11,词典!$A$2:$A$115,0)),"")</f>
        <v>冲动消费</v>
      </c>
      <c r="I11" s="10" t="str">
        <f aca="false">IFERROR(INDEX(词典!$H$2:$H$115,MATCH(G11,词典!$A$2:$A$115,0)),"")</f>
        <v>Shop on impulse</v>
      </c>
    </row>
    <row r="12" customFormat="false" ht="15" hidden="false" customHeight="false" outlineLevel="0" collapsed="false">
      <c r="A12" s="15" t="n">
        <v>46321</v>
      </c>
      <c r="B12" s="9" t="str">
        <f aca="false">"周"&amp;CHOOSE(WEEKDAY(A12),"日","一","二","三","四","五","六")</f>
        <v>周一</v>
      </c>
      <c r="C12" s="9" t="s">
        <v>653</v>
      </c>
      <c r="D12" s="9" t="s">
        <v>36</v>
      </c>
      <c r="E12" s="8" t="str">
        <f aca="false">IFERROR(INDEX(词典!$E$2:$E$115,MATCH(D12,词典!$A$2:$A$115,0)),"")</f>
        <v>拥抱家人</v>
      </c>
      <c r="F12" s="10" t="str">
        <f aca="false">IFERROR(INDEX(词典!$F$2:$F$115,MATCH(D12,词典!$A$2:$A$115,0)),"")</f>
        <v>Hug your family</v>
      </c>
      <c r="G12" s="9" t="s">
        <v>400</v>
      </c>
      <c r="H12" s="8" t="str">
        <f aca="false">IFERROR(INDEX(词典!$G$2:$G$115,MATCH(G12,词典!$A$2:$A$115,0)),"")</f>
        <v>贪多求快</v>
      </c>
      <c r="I12" s="10" t="str">
        <f aca="false">IFERROR(INDEX(词典!$H$2:$H$115,MATCH(G12,词典!$A$2:$A$115,0)),"")</f>
        <v>Rush for more</v>
      </c>
    </row>
    <row r="13" customFormat="false" ht="15" hidden="false" customHeight="false" outlineLevel="0" collapsed="false">
      <c r="A13" s="15" t="n">
        <v>46322</v>
      </c>
      <c r="B13" s="9" t="str">
        <f aca="false">"周"&amp;CHOOSE(WEEKDAY(A13),"日","一","二","三","四","五","六")</f>
        <v>周二</v>
      </c>
      <c r="C13" s="9" t="s">
        <v>654</v>
      </c>
      <c r="D13" s="9" t="s">
        <v>342</v>
      </c>
      <c r="E13" s="8" t="str">
        <f aca="false">IFERROR(INDEX(词典!$E$2:$E$115,MATCH(D13,词典!$A$2:$A$115,0)),"")</f>
        <v>布置小窝</v>
      </c>
      <c r="F13" s="10" t="str">
        <f aca="false">IFERROR(INDEX(词典!$F$2:$F$115,MATCH(D13,词典!$A$2:$A$115,0)),"")</f>
        <v>Make your corner cozy</v>
      </c>
      <c r="G13" s="9" t="s">
        <v>523</v>
      </c>
      <c r="H13" s="8" t="str">
        <f aca="false">IFERROR(INDEX(词典!$G$2:$G$115,MATCH(G13,词典!$A$2:$A$115,0)),"")</f>
        <v>开个副业</v>
      </c>
      <c r="I13" s="10" t="str">
        <f aca="false">IFERROR(INDEX(词典!$H$2:$H$115,MATCH(G13,词典!$A$2:$A$115,0)),"")</f>
        <v>Start a side hustle</v>
      </c>
    </row>
    <row r="14" customFormat="false" ht="15" hidden="false" customHeight="false" outlineLevel="0" collapsed="false">
      <c r="A14" s="15" t="n">
        <v>46323</v>
      </c>
      <c r="B14" s="9" t="str">
        <f aca="false">"周"&amp;CHOOSE(WEEKDAY(A14),"日","一","二","三","四","五","六")</f>
        <v>周三</v>
      </c>
      <c r="C14" s="9" t="s">
        <v>655</v>
      </c>
      <c r="D14" s="9" t="s">
        <v>138</v>
      </c>
      <c r="E14" s="8" t="str">
        <f aca="false">IFERROR(INDEX(词典!$E$2:$E$115,MATCH(D14,词典!$A$2:$A$115,0)),"")</f>
        <v>晒晒太阳</v>
      </c>
      <c r="F14" s="10" t="str">
        <f aca="false">IFERROR(INDEX(词典!$F$2:$F$115,MATCH(D14,词典!$A$2:$A$115,0)),"")</f>
        <v>Soak up the sun</v>
      </c>
      <c r="G14" s="9" t="s">
        <v>422</v>
      </c>
      <c r="H14" s="8" t="str">
        <f aca="false">IFERROR(INDEX(词典!$G$2:$G$115,MATCH(G14,词典!$A$2:$A$115,0)),"")</f>
        <v>盲目崇拜</v>
      </c>
      <c r="I14" s="10" t="str">
        <f aca="false">IFERROR(INDEX(词典!$H$2:$H$115,MATCH(G14,词典!$A$2:$A$115,0)),"")</f>
        <v>Worship success</v>
      </c>
    </row>
    <row r="15" customFormat="false" ht="15" hidden="false" customHeight="false" outlineLevel="0" collapsed="false">
      <c r="A15" s="15" t="n">
        <v>46324</v>
      </c>
      <c r="B15" s="9" t="str">
        <f aca="false">"周"&amp;CHOOSE(WEEKDAY(A15),"日","一","二","三","四","五","六")</f>
        <v>周四</v>
      </c>
      <c r="C15" s="9" t="s">
        <v>656</v>
      </c>
      <c r="D15" s="9" t="s">
        <v>102</v>
      </c>
      <c r="E15" s="8" t="str">
        <f aca="false">IFERROR(INDEX(词典!$E$2:$E$115,MATCH(D15,词典!$A$2:$A$115,0)),"")</f>
        <v>送个小礼</v>
      </c>
      <c r="F15" s="10" t="str">
        <f aca="false">IFERROR(INDEX(词典!$F$2:$F$115,MATCH(D15,词典!$A$2:$A$115,0)),"")</f>
        <v>Give a small gift</v>
      </c>
      <c r="G15" s="9" t="s">
        <v>186</v>
      </c>
      <c r="H15" s="8" t="str">
        <f aca="false">IFERROR(INDEX(词典!$G$2:$G$115,MATCH(G15,词典!$A$2:$A$115,0)),"")</f>
        <v>多线并行</v>
      </c>
      <c r="I15" s="10" t="str">
        <f aca="false">IFERROR(INDEX(词典!$H$2:$H$115,MATCH(G15,词典!$A$2:$A$115,0)),"")</f>
        <v>Multitask everything</v>
      </c>
    </row>
    <row r="16" customFormat="false" ht="15" hidden="false" customHeight="false" outlineLevel="0" collapsed="false">
      <c r="A16" s="15" t="n">
        <v>46325</v>
      </c>
      <c r="B16" s="9" t="str">
        <f aca="false">"周"&amp;CHOOSE(WEEKDAY(A16),"日","一","二","三","四","五","六")</f>
        <v>周五</v>
      </c>
      <c r="C16" s="9" t="s">
        <v>657</v>
      </c>
      <c r="D16" s="9" t="s">
        <v>418</v>
      </c>
      <c r="E16" s="8" t="str">
        <f aca="false">IFERROR(INDEX(词典!$E$2:$E$115,MATCH(D16,词典!$A$2:$A$115,0)),"")</f>
        <v>绕路散步</v>
      </c>
      <c r="F16" s="10" t="str">
        <f aca="false">IFERROR(INDEX(词典!$F$2:$F$115,MATCH(D16,词典!$A$2:$A$115,0)),"")</f>
        <v>Take the long way round</v>
      </c>
      <c r="G16" s="9" t="s">
        <v>36</v>
      </c>
      <c r="H16" s="8" t="str">
        <f aca="false">IFERROR(INDEX(词典!$G$2:$G$115,MATCH(G16,词典!$A$2:$A$115,0)),"")</f>
        <v>一口答应</v>
      </c>
      <c r="I16" s="10" t="str">
        <f aca="false">IFERROR(INDEX(词典!$H$2:$H$115,MATCH(G16,词典!$A$2:$A$115,0)),"")</f>
        <v>Say yes to everything</v>
      </c>
    </row>
    <row r="17" customFormat="false" ht="15" hidden="false" customHeight="false" outlineLevel="0" collapsed="false">
      <c r="A17" s="15" t="n">
        <v>46326</v>
      </c>
      <c r="B17" s="9" t="str">
        <f aca="false">"周"&amp;CHOOSE(WEEKDAY(A17),"日","一","二","三","四","五","六")</f>
        <v>周六</v>
      </c>
      <c r="C17" s="9" t="s">
        <v>658</v>
      </c>
      <c r="D17" s="9" t="s">
        <v>354</v>
      </c>
      <c r="E17" s="8" t="str">
        <f aca="false">IFERROR(INDEX(词典!$E$2:$E$115,MATCH(D17,词典!$A$2:$A$115,0)),"")</f>
        <v>逛来逛去</v>
      </c>
      <c r="F17" s="10" t="str">
        <f aca="false">IFERROR(INDEX(词典!$F$2:$F$115,MATCH(D17,词典!$A$2:$A$115,0)),"")</f>
        <v>Wander at leisure</v>
      </c>
      <c r="G17" s="9" t="s">
        <v>42</v>
      </c>
      <c r="H17" s="8" t="str">
        <f aca="false">IFERROR(INDEX(词典!$G$2:$G$115,MATCH(G17,词典!$A$2:$A$115,0)),"")</f>
        <v>许愿暴富</v>
      </c>
      <c r="I17" s="10" t="str">
        <f aca="false">IFERROR(INDEX(词典!$H$2:$H$115,MATCH(G17,词典!$A$2:$A$115,0)),"")</f>
        <v>Wish to get rich quick</v>
      </c>
    </row>
    <row r="18" customFormat="false" ht="15" hidden="false" customHeight="false" outlineLevel="0" collapsed="false">
      <c r="A18" s="15" t="n">
        <v>46327</v>
      </c>
      <c r="B18" s="9" t="str">
        <f aca="false">"周"&amp;CHOOSE(WEEKDAY(A18),"日","一","二","三","四","五","六")</f>
        <v>周日</v>
      </c>
      <c r="C18" s="9" t="s">
        <v>659</v>
      </c>
      <c r="D18" s="9" t="s">
        <v>36</v>
      </c>
      <c r="E18" s="8" t="str">
        <f aca="false">IFERROR(INDEX(词典!$E$2:$E$115,MATCH(D18,词典!$A$2:$A$115,0)),"")</f>
        <v>拥抱家人</v>
      </c>
      <c r="F18" s="10" t="str">
        <f aca="false">IFERROR(INDEX(词典!$F$2:$F$115,MATCH(D18,词典!$A$2:$A$115,0)),"")</f>
        <v>Hug your family</v>
      </c>
      <c r="G18" s="9" t="s">
        <v>66</v>
      </c>
      <c r="H18" s="8" t="str">
        <f aca="false">IFERROR(INDEX(词典!$G$2:$G$115,MATCH(G18,词典!$A$2:$A$115,0)),"")</f>
        <v>另起炉灶</v>
      </c>
      <c r="I18" s="10" t="str">
        <f aca="false">IFERROR(INDEX(词典!$H$2:$H$115,MATCH(G18,词典!$A$2:$A$115,0)),"")</f>
        <v>Start yet another project</v>
      </c>
    </row>
    <row r="19" customFormat="false" ht="15" hidden="false" customHeight="false" outlineLevel="0" collapsed="false">
      <c r="A19" s="15" t="n">
        <v>46328</v>
      </c>
      <c r="B19" s="9" t="str">
        <f aca="false">"周"&amp;CHOOSE(WEEKDAY(A19),"日","一","二","三","四","五","六")</f>
        <v>周一</v>
      </c>
      <c r="C19" s="9" t="s">
        <v>660</v>
      </c>
      <c r="D19" s="9" t="s">
        <v>376</v>
      </c>
      <c r="E19" s="8" t="str">
        <f aca="false">IFERROR(INDEX(词典!$E$2:$E$115,MATCH(D19,词典!$A$2:$A$115,0)),"")</f>
        <v>打破常规</v>
      </c>
      <c r="F19" s="10" t="str">
        <f aca="false">IFERROR(INDEX(词典!$F$2:$F$115,MATCH(D19,词典!$A$2:$A$115,0)),"")</f>
        <v>Break your routine</v>
      </c>
      <c r="G19" s="9" t="s">
        <v>36</v>
      </c>
      <c r="H19" s="8" t="str">
        <f aca="false">IFERROR(INDEX(词典!$G$2:$G$115,MATCH(G19,词典!$A$2:$A$115,0)),"")</f>
        <v>一口答应</v>
      </c>
      <c r="I19" s="10" t="str">
        <f aca="false">IFERROR(INDEX(词典!$H$2:$H$115,MATCH(G19,词典!$A$2:$A$115,0)),"")</f>
        <v>Say yes to everything</v>
      </c>
    </row>
    <row r="20" customFormat="false" ht="15" hidden="false" customHeight="false" outlineLevel="0" collapsed="false">
      <c r="A20" s="15" t="n">
        <v>46329</v>
      </c>
      <c r="B20" s="9" t="str">
        <f aca="false">"周"&amp;CHOOSE(WEEKDAY(A20),"日","一","二","三","四","五","六")</f>
        <v>周二</v>
      </c>
      <c r="C20" s="9" t="s">
        <v>661</v>
      </c>
      <c r="D20" s="9" t="s">
        <v>148</v>
      </c>
      <c r="E20" s="8" t="str">
        <f aca="false">IFERROR(INDEX(词典!$E$2:$E$115,MATCH(D20,词典!$A$2:$A$115,0)),"")</f>
        <v>与友闲聊</v>
      </c>
      <c r="F20" s="10" t="str">
        <f aca="false">IFERROR(INDEX(词典!$F$2:$F$115,MATCH(D20,词典!$A$2:$A$115,0)),"")</f>
        <v>Chat with a friend</v>
      </c>
      <c r="G20" s="9" t="s">
        <v>48</v>
      </c>
      <c r="H20" s="8" t="str">
        <f aca="false">IFERROR(INDEX(词典!$G$2:$G$115,MATCH(G20,词典!$A$2:$A$115,0)),"")</f>
        <v>与人攀比</v>
      </c>
      <c r="I20" s="10" t="str">
        <f aca="false">IFERROR(INDEX(词典!$H$2:$H$115,MATCH(G20,词典!$A$2:$A$115,0)),"")</f>
        <v>Compare yourself</v>
      </c>
    </row>
    <row r="21" customFormat="false" ht="15" hidden="false" customHeight="false" outlineLevel="0" collapsed="false">
      <c r="A21" s="15" t="n">
        <v>46330</v>
      </c>
      <c r="B21" s="9" t="str">
        <f aca="false">"周"&amp;CHOOSE(WEEKDAY(A21),"日","一","二","三","四","五","六")</f>
        <v>周三</v>
      </c>
      <c r="C21" s="9" t="s">
        <v>662</v>
      </c>
      <c r="D21" s="9" t="s">
        <v>471</v>
      </c>
      <c r="E21" s="8" t="str">
        <f aca="false">IFERROR(INDEX(词典!$E$2:$E$115,MATCH(D21,词典!$A$2:$A$115,0)),"")</f>
        <v>骑骑单车</v>
      </c>
      <c r="F21" s="10" t="str">
        <f aca="false">IFERROR(INDEX(词典!$F$2:$F$115,MATCH(D21,词典!$A$2:$A$115,0)),"")</f>
        <v>Go for a bike ride</v>
      </c>
      <c r="G21" s="9" t="s">
        <v>96</v>
      </c>
      <c r="H21" s="8" t="str">
        <f aca="false">IFERROR(INDEX(词典!$G$2:$G$115,MATCH(G21,词典!$A$2:$A$115,0)),"")</f>
        <v>死盯数据</v>
      </c>
      <c r="I21" s="10" t="str">
        <f aca="false">IFERROR(INDEX(词典!$H$2:$H$115,MATCH(G21,词典!$A$2:$A$115,0)),"")</f>
        <v>Obsess over metrics</v>
      </c>
    </row>
    <row r="22" customFormat="false" ht="15" hidden="false" customHeight="false" outlineLevel="0" collapsed="false">
      <c r="A22" s="15" t="n">
        <v>46331</v>
      </c>
      <c r="B22" s="9" t="str">
        <f aca="false">"周"&amp;CHOOSE(WEEKDAY(A22),"日","一","二","三","四","五","六")</f>
        <v>周四</v>
      </c>
      <c r="C22" s="9" t="s">
        <v>663</v>
      </c>
      <c r="D22" s="9" t="s">
        <v>252</v>
      </c>
      <c r="E22" s="8" t="str">
        <f aca="false">IFERROR(INDEX(词典!$E$2:$E$115,MATCH(D22,词典!$A$2:$A$115,0)),"")</f>
        <v>收下好意</v>
      </c>
      <c r="F22" s="10" t="str">
        <f aca="false">IFERROR(INDEX(词典!$F$2:$F$115,MATCH(D22,词典!$A$2:$A$115,0)),"")</f>
        <v>Accept a kindness</v>
      </c>
      <c r="G22" s="9" t="s">
        <v>54</v>
      </c>
      <c r="H22" s="8" t="str">
        <f aca="false">IFERROR(INDEX(词典!$G$2:$G$115,MATCH(G22,词典!$A$2:$A$115,0)),"")</f>
        <v>大干一场</v>
      </c>
      <c r="I22" s="10" t="str">
        <f aca="false">IFERROR(INDEX(词典!$H$2:$H$115,MATCH(G22,词典!$A$2:$A$115,0)),"")</f>
        <v>Go all in</v>
      </c>
    </row>
    <row r="23" customFormat="false" ht="15" hidden="false" customHeight="false" outlineLevel="0" collapsed="false">
      <c r="A23" s="15" t="n">
        <v>46332</v>
      </c>
      <c r="B23" s="9" t="str">
        <f aca="false">"周"&amp;CHOOSE(WEEKDAY(A23),"日","一","二","三","四","五","六")</f>
        <v>周五</v>
      </c>
      <c r="C23" s="9" t="s">
        <v>664</v>
      </c>
      <c r="D23" s="9" t="s">
        <v>78</v>
      </c>
      <c r="E23" s="8" t="str">
        <f aca="false">IFERROR(INDEX(词典!$E$2:$E$115,MATCH(D23,词典!$A$2:$A$115,0)),"")</f>
        <v>许个心愿</v>
      </c>
      <c r="F23" s="10" t="str">
        <f aca="false">IFERROR(INDEX(词典!$F$2:$F$115,MATCH(D23,词典!$A$2:$A$115,0)),"")</f>
        <v>Make a small wish</v>
      </c>
      <c r="G23" s="9" t="s">
        <v>479</v>
      </c>
      <c r="H23" s="8" t="str">
        <f aca="false">IFERROR(INDEX(词典!$G$2:$G$115,MATCH(G23,词典!$A$2:$A$115,0)),"")</f>
        <v>急着变现</v>
      </c>
      <c r="I23" s="10" t="str">
        <f aca="false">IFERROR(INDEX(词典!$H$2:$H$115,MATCH(G23,词典!$A$2:$A$115,0)),"")</f>
        <v>Cash in everything</v>
      </c>
    </row>
    <row r="24" customFormat="false" ht="15" hidden="false" customHeight="false" outlineLevel="0" collapsed="false">
      <c r="A24" s="15" t="n">
        <v>46333</v>
      </c>
      <c r="B24" s="9" t="str">
        <f aca="false">"周"&amp;CHOOSE(WEEKDAY(A24),"日","一","二","三","四","五","六")</f>
        <v>周六</v>
      </c>
      <c r="C24" s="9" t="s">
        <v>665</v>
      </c>
      <c r="D24" s="9" t="s">
        <v>144</v>
      </c>
      <c r="E24" s="8" t="str">
        <f aca="false">IFERROR(INDEX(词典!$E$2:$E$115,MATCH(D24,词典!$A$2:$A$115,0)),"")</f>
        <v>解开心结</v>
      </c>
      <c r="F24" s="10" t="str">
        <f aca="false">IFERROR(INDEX(词典!$F$2:$F$115,MATCH(D24,词典!$A$2:$A$115,0)),"")</f>
        <v>Let something go</v>
      </c>
      <c r="G24" s="9" t="s">
        <v>539</v>
      </c>
      <c r="H24" s="8" t="str">
        <f aca="false">IFERROR(INDEX(词典!$G$2:$G$115,MATCH(G24,词典!$A$2:$A$115,0)),"")</f>
        <v>百无禁忌</v>
      </c>
      <c r="I24" s="10" t="str">
        <f aca="false">IFERROR(INDEX(词典!$H$2:$H$115,MATCH(G24,词典!$A$2:$A$115,0)),"")</f>
        <v>Nothing is off-limits</v>
      </c>
    </row>
    <row r="25" customFormat="false" ht="15" hidden="false" customHeight="false" outlineLevel="0" collapsed="false">
      <c r="A25" s="15" t="n">
        <v>46334</v>
      </c>
      <c r="B25" s="9" t="str">
        <f aca="false">"周"&amp;CHOOSE(WEEKDAY(A25),"日","一","二","三","四","五","六")</f>
        <v>周日</v>
      </c>
      <c r="C25" s="9" t="s">
        <v>666</v>
      </c>
      <c r="D25" s="9" t="s">
        <v>348</v>
      </c>
      <c r="E25" s="8" t="str">
        <f aca="false">IFERROR(INDEX(词典!$E$2:$E$115,MATCH(D25,词典!$A$2:$A$115,0)),"")</f>
        <v>看鱼游泳</v>
      </c>
      <c r="F25" s="10" t="str">
        <f aca="false">IFERROR(INDEX(词典!$F$2:$F$115,MATCH(D25,词典!$A$2:$A$115,0)),"")</f>
        <v>Watch the fish swim</v>
      </c>
      <c r="G25" s="9" t="s">
        <v>114</v>
      </c>
      <c r="H25" s="8" t="str">
        <f aca="false">IFERROR(INDEX(词典!$G$2:$G$115,MATCH(G25,词典!$A$2:$A$115,0)),"")</f>
        <v>边吃边干</v>
      </c>
      <c r="I25" s="10" t="str">
        <f aca="false">IFERROR(INDEX(词典!$H$2:$H$115,MATCH(G25,词典!$A$2:$A$115,0)),"")</f>
        <v>Eat at your desk</v>
      </c>
    </row>
    <row r="26" customFormat="false" ht="15" hidden="false" customHeight="false" outlineLevel="0" collapsed="false">
      <c r="A26" s="15" t="n">
        <v>46335</v>
      </c>
      <c r="B26" s="9" t="str">
        <f aca="false">"周"&amp;CHOOSE(WEEKDAY(A26),"日","一","二","三","四","五","六")</f>
        <v>周一</v>
      </c>
      <c r="C26" s="9" t="s">
        <v>667</v>
      </c>
      <c r="D26" s="9" t="s">
        <v>236</v>
      </c>
      <c r="E26" s="8" t="str">
        <f aca="false">IFERROR(INDEX(词典!$E$2:$E$115,MATCH(D26,词典!$A$2:$A$115,0)),"")</f>
        <v>泡个热澡</v>
      </c>
      <c r="F26" s="10" t="str">
        <f aca="false">IFERROR(INDEX(词典!$F$2:$F$115,MATCH(D26,词典!$A$2:$A$115,0)),"")</f>
        <v>Take a warm bath</v>
      </c>
      <c r="G26" s="9" t="s">
        <v>539</v>
      </c>
      <c r="H26" s="8" t="str">
        <f aca="false">IFERROR(INDEX(词典!$G$2:$G$115,MATCH(G26,词典!$A$2:$A$115,0)),"")</f>
        <v>百无禁忌</v>
      </c>
      <c r="I26" s="10" t="str">
        <f aca="false">IFERROR(INDEX(词典!$H$2:$H$115,MATCH(G26,词典!$A$2:$A$115,0)),"")</f>
        <v>Nothing is off-limits</v>
      </c>
    </row>
    <row r="27" customFormat="false" ht="15" hidden="false" customHeight="false" outlineLevel="0" collapsed="false">
      <c r="A27" s="15" t="n">
        <v>46336</v>
      </c>
      <c r="B27" s="9" t="str">
        <f aca="false">"周"&amp;CHOOSE(WEEKDAY(A27),"日","一","二","三","四","五","六")</f>
        <v>周二</v>
      </c>
      <c r="C27" s="9" t="s">
        <v>668</v>
      </c>
      <c r="D27" s="9" t="s">
        <v>108</v>
      </c>
      <c r="E27" s="8" t="str">
        <f aca="false">IFERROR(INDEX(词典!$E$2:$E$115,MATCH(D27,词典!$A$2:$A$115,0)),"")</f>
        <v>缝颗纽扣</v>
      </c>
      <c r="F27" s="10" t="str">
        <f aca="false">IFERROR(INDEX(词典!$F$2:$F$115,MATCH(D27,词典!$A$2:$A$115,0)),"")</f>
        <v>Sew on a button</v>
      </c>
      <c r="G27" s="9" t="s">
        <v>400</v>
      </c>
      <c r="H27" s="8" t="str">
        <f aca="false">IFERROR(INDEX(词典!$G$2:$G$115,MATCH(G27,词典!$A$2:$A$115,0)),"")</f>
        <v>贪多求快</v>
      </c>
      <c r="I27" s="10" t="str">
        <f aca="false">IFERROR(INDEX(词典!$H$2:$H$115,MATCH(G27,词典!$A$2:$A$115,0)),"")</f>
        <v>Rush for more</v>
      </c>
    </row>
    <row r="28" customFormat="false" ht="15" hidden="false" customHeight="false" outlineLevel="0" collapsed="false">
      <c r="A28" s="15" t="n">
        <v>46337</v>
      </c>
      <c r="B28" s="9" t="str">
        <f aca="false">"周"&amp;CHOOSE(WEEKDAY(A28),"日","一","二","三","四","五","六")</f>
        <v>周三</v>
      </c>
      <c r="C28" s="9" t="s">
        <v>669</v>
      </c>
      <c r="D28" s="9" t="s">
        <v>322</v>
      </c>
      <c r="E28" s="8" t="str">
        <f aca="false">IFERROR(INDEX(词典!$E$2:$E$115,MATCH(D28,词典!$A$2:$A$115,0)),"")</f>
        <v>织点东西</v>
      </c>
      <c r="F28" s="10" t="str">
        <f aca="false">IFERROR(INDEX(词典!$F$2:$F$115,MATCH(D28,词典!$A$2:$A$115,0)),"")</f>
        <v>Knit something</v>
      </c>
      <c r="G28" s="9" t="s">
        <v>72</v>
      </c>
      <c r="H28" s="8" t="str">
        <f aca="false">IFERROR(INDEX(词典!$G$2:$G$115,MATCH(G28,词典!$A$2:$A$115,0)),"")</f>
        <v>赶来赶去</v>
      </c>
      <c r="I28" s="10" t="str">
        <f aca="false">IFERROR(INDEX(词典!$H$2:$H$115,MATCH(G28,词典!$A$2:$A$115,0)),"")</f>
        <v>Rush from place to place</v>
      </c>
    </row>
    <row r="29" customFormat="false" ht="15" hidden="false" customHeight="false" outlineLevel="0" collapsed="false">
      <c r="A29" s="15" t="n">
        <v>46338</v>
      </c>
      <c r="B29" s="9" t="str">
        <f aca="false">"周"&amp;CHOOSE(WEEKDAY(A29),"日","一","二","三","四","五","六")</f>
        <v>周四</v>
      </c>
      <c r="C29" s="9" t="s">
        <v>670</v>
      </c>
      <c r="D29" s="9" t="s">
        <v>138</v>
      </c>
      <c r="E29" s="8" t="str">
        <f aca="false">IFERROR(INDEX(词典!$E$2:$E$115,MATCH(D29,词典!$A$2:$A$115,0)),"")</f>
        <v>晒晒太阳</v>
      </c>
      <c r="F29" s="10" t="str">
        <f aca="false">IFERROR(INDEX(词典!$F$2:$F$115,MATCH(D29,词典!$A$2:$A$115,0)),"")</f>
        <v>Soak up the sun</v>
      </c>
      <c r="G29" s="9" t="s">
        <v>42</v>
      </c>
      <c r="H29" s="8" t="str">
        <f aca="false">IFERROR(INDEX(词典!$G$2:$G$115,MATCH(G29,词典!$A$2:$A$115,0)),"")</f>
        <v>许愿暴富</v>
      </c>
      <c r="I29" s="10" t="str">
        <f aca="false">IFERROR(INDEX(词典!$H$2:$H$115,MATCH(G29,词典!$A$2:$A$115,0)),"")</f>
        <v>Wish to get rich quick</v>
      </c>
    </row>
    <row r="30" customFormat="false" ht="15" hidden="false" customHeight="false" outlineLevel="0" collapsed="false">
      <c r="A30" s="15" t="n">
        <v>46339</v>
      </c>
      <c r="B30" s="9" t="str">
        <f aca="false">"周"&amp;CHOOSE(WEEKDAY(A30),"日","一","二","三","四","五","六")</f>
        <v>周五</v>
      </c>
      <c r="C30" s="9" t="s">
        <v>671</v>
      </c>
      <c r="D30" s="9" t="s">
        <v>30</v>
      </c>
      <c r="E30" s="8" t="str">
        <f aca="false">IFERROR(INDEX(词典!$E$2:$E$115,MATCH(D30,词典!$A$2:$A$115,0)),"")</f>
        <v>放下旧事</v>
      </c>
      <c r="F30" s="10" t="str">
        <f aca="false">IFERROR(INDEX(词典!$F$2:$F$115,MATCH(D30,词典!$A$2:$A$115,0)),"")</f>
        <v>Let old things rest</v>
      </c>
      <c r="G30" s="9" t="s">
        <v>154</v>
      </c>
      <c r="H30" s="8" t="str">
        <f aca="false">IFERROR(INDEX(词典!$G$2:$G$115,MATCH(G30,词典!$A$2:$A$115,0)),"")</f>
        <v>揠苗助长</v>
      </c>
      <c r="I30" s="10" t="str">
        <f aca="false">IFERROR(INDEX(词典!$H$2:$H$115,MATCH(G30,词典!$A$2:$A$115,0)),"")</f>
        <v>Force things to grow</v>
      </c>
    </row>
    <row r="31" customFormat="false" ht="15" hidden="false" customHeight="false" outlineLevel="0" collapsed="false">
      <c r="A31" s="15" t="n">
        <v>46340</v>
      </c>
      <c r="B31" s="9" t="str">
        <f aca="false">"周"&amp;CHOOSE(WEEKDAY(A31),"日","一","二","三","四","五","六")</f>
        <v>周六</v>
      </c>
      <c r="C31" s="9" t="s">
        <v>672</v>
      </c>
      <c r="D31" s="9" t="s">
        <v>270</v>
      </c>
      <c r="E31" s="8" t="str">
        <f aca="false">IFERROR(INDEX(词典!$E$2:$E$115,MATCH(D31,词典!$A$2:$A$115,0)),"")</f>
        <v>认识新友</v>
      </c>
      <c r="F31" s="10" t="str">
        <f aca="false">IFERROR(INDEX(词典!$F$2:$F$115,MATCH(D31,词典!$A$2:$A$115,0)),"")</f>
        <v>Make a new friend</v>
      </c>
      <c r="G31" s="9" t="s">
        <v>440</v>
      </c>
      <c r="H31" s="8" t="str">
        <f aca="false">IFERROR(INDEX(词典!$G$2:$G$115,MATCH(G31,词典!$A$2:$A$115,0)),"")</f>
        <v>赶上风口</v>
      </c>
      <c r="I31" s="10" t="str">
        <f aca="false">IFERROR(INDEX(词典!$H$2:$H$115,MATCH(G31,词典!$A$2:$A$115,0)),"")</f>
        <v>Ride the next big wave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2026-10-16T14:19:34Z</dcterms:created>
  <dc:creator>openpyxl</dc:creator>
  <dc:description/>
  <dc:language>en-US</dc:language>
  <cp:lastModifiedBy/>
  <dcterms:modified xsi:type="dcterms:W3CDTF">2026-10-16T14:19:34Z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